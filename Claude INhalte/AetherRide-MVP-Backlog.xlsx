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leitung" sheetId="1" state="visible" r:id="rId3"/>
    <sheet name="Backlog" sheetId="2" state="visible" r:id="rId4"/>
    <sheet name="Epics" sheetId="3" state="visible" r:id="rId5"/>
    <sheet name="Gates" sheetId="4" state="visible" r:id="rId6"/>
    <sheet name="Risiken" sheetId="5" state="visible" r:id="rId7"/>
  </sheets>
  <definedNames>
    <definedName function="false" hidden="true" localSheetId="1" name="_xlnm._FilterDatabase" vbProcedure="false">Backlog!$A$1:$M$136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<sst xmlns="http://schemas.openxmlformats.org/spreadsheetml/2006/main" count="1737" uniqueCount="872">
  <si>
    <t xml:space="preserve">AetherRide — MVP-Backlog</t>
  </si>
  <si>
    <t xml:space="preserve">Abgeleitet aus der Produkt-, Architektur- und Design-Spezifikation v1.0 vom 06.08.2026</t>
  </si>
  <si>
    <t xml:space="preserve">Aufbau der Mappe</t>
  </si>
  <si>
    <t xml:space="preserve">Backlog</t>
  </si>
  <si>
    <t xml:space="preserve">Alle Stories mit Akzeptanzkriterien, Priorität, Phase, Abhängigkeit und Schätzung.</t>
  </si>
  <si>
    <t xml:space="preserve">Epics</t>
  </si>
  <si>
    <t xml:space="preserve">Auswertung je Epic. Alle Zahlen sind Formeln auf das Blatt Backlog — nicht überschreiben.</t>
  </si>
  <si>
    <t xml:space="preserve">Gates</t>
  </si>
  <si>
    <t xml:space="preserve">Sechs externe Entscheidungspunkte. Stories mit Gate-Eintrag starten erst nach positivem Gate.</t>
  </si>
  <si>
    <t xml:space="preserve">Risiken</t>
  </si>
  <si>
    <t xml:space="preserve">Risikoregister aus Kapitel 10 der Spezifikation.</t>
  </si>
  <si>
    <t xml:space="preserve">Was Sie bearbeiten</t>
  </si>
  <si>
    <t xml:space="preserve">Spalte K (SP)</t>
  </si>
  <si>
    <t xml:space="preserve">Story Points. Vorbelegt als Erstschätzung des Autors — im Planning ersetzen.</t>
  </si>
  <si>
    <t xml:space="preserve">Spalte M (Status)</t>
  </si>
  <si>
    <t xml:space="preserve">Auswahlliste: Offen, In Arbeit, Review, Fertig, Zurückgestellt.</t>
  </si>
  <si>
    <t xml:space="preserve">Epics!B3 (Velocity)</t>
  </si>
  <si>
    <t xml:space="preserve">Gelb hinterlegt. Story Points je Sprint. Vorgabe 90 ist aus dem Plan zurückgerechnet, nicht gemessen — sobald der echte Teamwert vorliegt, ersetzen. Weicht er ab, verschiebt sich der Launchtermin entsprechend.</t>
  </si>
  <si>
    <t xml:space="preserve">Alles Übrige ist abgeleitet</t>
  </si>
  <si>
    <t xml:space="preserve">Spalte H (Spec-Referenz)</t>
  </si>
  <si>
    <t xml:space="preserve">Verweis in die Spezifikation. Bei Änderung einer Story dort gegenprüfen.</t>
  </si>
  <si>
    <t xml:space="preserve">Spalte I (Abhängig von)</t>
  </si>
  <si>
    <t xml:space="preserve">Epic-Kürzel. Eine Story sollte nicht vor ihrer Abhängigkeit eingeplant werden.</t>
  </si>
  <si>
    <t xml:space="preserve">Spalte J (Gate)</t>
  </si>
  <si>
    <t xml:space="preserve">Leer bedeutet: jederzeit startbar.</t>
  </si>
  <si>
    <t xml:space="preserve">Beispielzeile (so ist eine Story gemeint)</t>
  </si>
  <si>
    <t xml:space="preserve">ST-030</t>
  </si>
  <si>
    <t xml:space="preserve">Epic E04 · „Regel-Engine mit vier Urteilen“ · P0 · MVP v1.0 · Spec F-GAR-003 · 13 SP · Rolle Backend · Status Offen</t>
  </si>
  <si>
    <t xml:space="preserve">Wichtig</t>
  </si>
  <si>
    <t xml:space="preserve">Gate G-2</t>
  </si>
  <si>
    <t xml:space="preserve">Sechs Stories der Fahrwerksanalyse sind an die Feldvalidierung gebunden. Scheitert sie, entfallen diese Stories ersatzlos — sie werden nicht abgeschwächt ausgeliefert.</t>
  </si>
  <si>
    <t xml:space="preserve">Katalogdaten</t>
  </si>
  <si>
    <t xml:space="preserve">Die Stories des Epics E16 sind der kritische Pfad, nicht die Softwareentwicklung. Sie müssen ab Monat 1 laufen.</t>
  </si>
  <si>
    <t xml:space="preserve">Schätzungen</t>
  </si>
  <si>
    <t xml:space="preserve">SP sind eine Erstschätzung ohne Teamkalibrierung. Die Sprint-Hochrechnung auf dem Blatt Epics ist deshalb eine Größenordnung, keine Terminzusage.</t>
  </si>
  <si>
    <t xml:space="preserve">ID</t>
  </si>
  <si>
    <t xml:space="preserve">Epic</t>
  </si>
  <si>
    <t xml:space="preserve">Titel</t>
  </si>
  <si>
    <t xml:space="preserve">User Story</t>
  </si>
  <si>
    <t xml:space="preserve">Akzeptanzkriterien</t>
  </si>
  <si>
    <t xml:space="preserve">Prio</t>
  </si>
  <si>
    <t xml:space="preserve">Phase</t>
  </si>
  <si>
    <t xml:space="preserve">Spec-Ref</t>
  </si>
  <si>
    <t xml:space="preserve">Abhängig von</t>
  </si>
  <si>
    <t xml:space="preserve">Gate</t>
  </si>
  <si>
    <t xml:space="preserve">SP</t>
  </si>
  <si>
    <t xml:space="preserve">Rolle</t>
  </si>
  <si>
    <t xml:space="preserve">Status</t>
  </si>
  <si>
    <t xml:space="preserve">ST-001</t>
  </si>
  <si>
    <t xml:space="preserve">E01</t>
  </si>
  <si>
    <t xml:space="preserve">Mobile-Stack final bestätigen</t>
  </si>
  <si>
    <t xml:space="preserve">Als Engineering-Leitung will ich die Entscheidung Flutter + native Module gegen die reale Teamaufstellung prüfen, damit die Architektur zum Team passt.</t>
  </si>
  <si>
    <t xml:space="preserve">Entscheidungsmatrix mit tatsächlichen Teamprofilen neu bewertet; Ergebnis dokumentiert und freigegeben; bei Umkehr ist Kap. 5.1 aktualisiert.</t>
  </si>
  <si>
    <t xml:space="preserve">P0</t>
  </si>
  <si>
    <t xml:space="preserve">MVP v1.0</t>
  </si>
  <si>
    <t xml:space="preserve">5.1</t>
  </si>
  <si>
    <t xml:space="preserve">G-0</t>
  </si>
  <si>
    <t xml:space="preserve">Eng-Lead</t>
  </si>
  <si>
    <t xml:space="preserve">Offen</t>
  </si>
  <si>
    <t xml:space="preserve">ST-002</t>
  </si>
  <si>
    <t xml:space="preserve">Projektgerüst Flutter + CI</t>
  </si>
  <si>
    <t xml:space="preserve">Als Entwickler will ich ein lauffähiges Projektgerüst mit CI, damit ab Sprint 1 auf grüner Pipeline gearbeitet wird.</t>
  </si>
  <si>
    <t xml:space="preserve">Build für iOS und Android in CI; Lint, Format, Unit-Tests als Gate; Signierung eingerichtet; Build &lt; 12 min.</t>
  </si>
  <si>
    <t xml:space="preserve">5.2</t>
  </si>
  <si>
    <t xml:space="preserve">Mobile</t>
  </si>
  <si>
    <t xml:space="preserve">ST-003</t>
  </si>
  <si>
    <t xml:space="preserve">Schichtung und Repository-Muster</t>
  </si>
  <si>
    <t xml:space="preserve">Als Entwickler will ich die Schichten Präsentation/Zustand/Domäne/Repository festlegen, damit kein Lesepfad am Netz hängt.</t>
  </si>
  <si>
    <t xml:space="preserve">Referenzimplementierung für eine Entität vorhanden; Architekturtest schlägt fehl, wenn die UI direkt auf Netzwerkcode zugreift.</t>
  </si>
  <si>
    <t xml:space="preserve">ST-004</t>
  </si>
  <si>
    <t xml:space="preserve">dsp_core in Rust aufsetzen</t>
  </si>
  <si>
    <t xml:space="preserve">Als ML-Ingenieur will ich die Signalverarbeitung als plattformunabhängige Rust-Bibliothek, damit sie einmal geschrieben und auf dem Desktop getestet werden kann.</t>
  </si>
  <si>
    <t xml:space="preserve">Bibliothek baut für iOS, Android und Desktop; FFI-Anbindung an Dart; Referenzdatensatz läuft auf allen drei Zielen mit identischem Ergebnis.</t>
  </si>
  <si>
    <t xml:space="preserve">ML</t>
  </si>
  <si>
    <t xml:space="preserve">ST-005</t>
  </si>
  <si>
    <t xml:space="preserve">Blockweise Sensorübergabe über FFI</t>
  </si>
  <si>
    <t xml:space="preserve">Als Entwickler will ich Sensordaten in 1-Sekunden-Blöcken über gemeinsamen Speicher übergeben, damit die Method-Channel-Last entfällt.</t>
  </si>
  <si>
    <t xml:space="preserve">200 Hz über 2 h ohne Frame-Drop; keine Einzelsample-Übergabe im Code; Messung dokumentiert.</t>
  </si>
  <si>
    <t xml:space="preserve">5.1 / F-SEN-001</t>
  </si>
  <si>
    <t xml:space="preserve">ST-006</t>
  </si>
  <si>
    <t xml:space="preserve">Backend-Grundgerüst und Deployment</t>
  </si>
  <si>
    <t xml:space="preserve">Als Backend-Entwickler will ich die vier MVP-Deploymenteinheiten mit Postgres, Redis und Objektspeicher aufsetzen.</t>
  </si>
  <si>
    <t xml:space="preserve">Infrastruktur als Code; EU-Region; Health-Checks; automatisches Deployment aus dem Hauptzweig.</t>
  </si>
  <si>
    <t xml:space="preserve">5.3</t>
  </si>
  <si>
    <t xml:space="preserve">Backend</t>
  </si>
  <si>
    <t xml:space="preserve">ST-007</t>
  </si>
  <si>
    <t xml:space="preserve">Schema-Trennung je Bounded Context</t>
  </si>
  <si>
    <t xml:space="preserve">Als Architekt will ich getrennte Datenbankschemata ohne kontextübergreifende Fremdschlüssel, damit ein späteres Herauslösen ein Deployment-Schritt bleibt.</t>
  </si>
  <si>
    <t xml:space="preserve">Migrationsprüfung schlägt bei kontextübergreifendem Fremdschlüssel fehl.</t>
  </si>
  <si>
    <t xml:space="preserve">ST-008</t>
  </si>
  <si>
    <t xml:space="preserve">Observability</t>
  </si>
  <si>
    <t xml:space="preserve">Als Betreiber will ich Traces, Metriken und Absturzberichte, damit die NFR messbar sind.</t>
  </si>
  <si>
    <t xml:space="preserve">OpenTelemetry im Backend; Sentry in der App; Dashboards für NFR-01 bis NFR-11.</t>
  </si>
  <si>
    <t xml:space="preserve">5.7</t>
  </si>
  <si>
    <t xml:space="preserve">DevOps</t>
  </si>
  <si>
    <t xml:space="preserve">ST-009</t>
  </si>
  <si>
    <t xml:space="preserve">OpenAPI-Vertrag und Client-Generierung</t>
  </si>
  <si>
    <t xml:space="preserve">Als Entwickler will ich einen versionierten API-Vertrag, aus dem der Client generiert wird.</t>
  </si>
  <si>
    <t xml:space="preserve">OpenAPI 3.1 im Repository; Client generiert; Vertragsbruch bricht die CI.</t>
  </si>
  <si>
    <t xml:space="preserve">ST-010</t>
  </si>
  <si>
    <t xml:space="preserve">E02</t>
  </si>
  <si>
    <t xml:space="preserve">Nutzung ohne Konto</t>
  </si>
  <si>
    <t xml:space="preserve">Als neuer Nutzer will ich Garage und Tracking ohne Registrierung nutzen, damit ich die App sofort ausprobieren kann.</t>
  </si>
  <si>
    <t xml:space="preserve">Voller lokaler Funktionsumfang ohne Konto; Registrierung wird erst nach dem ersten Ride angeboten, mit Begründung.</t>
  </si>
  <si>
    <t xml:space="preserve">F-ACC-002</t>
  </si>
  <si>
    <t xml:space="preserve">ST-011</t>
  </si>
  <si>
    <t xml:space="preserve">Registrierung und Anmeldung</t>
  </si>
  <si>
    <t xml:space="preserve">Als Nutzer will ich mich per E-Mail, Apple oder Google anmelden, damit meine Daten geräteübergreifend erhalten bleiben.</t>
  </si>
  <si>
    <t xml:space="preserve">Drei Verfahren funktionsfähig; Token-Erneuerung; Abmelden löscht lokale Sitzung, nicht die lokalen Daten.</t>
  </si>
  <si>
    <t xml:space="preserve">F-ACC-001</t>
  </si>
  <si>
    <t xml:space="preserve">ST-012</t>
  </si>
  <si>
    <t xml:space="preserve">Sync-Engine mit Operations-Log</t>
  </si>
  <si>
    <t xml:space="preserve">Als Nutzer will ich offline arbeiten und später synchronisieren, ohne Daten zu verlieren.</t>
  </si>
  <si>
    <t xml:space="preserve">UUIDv7 clientseitig; geordnetes Operations-Log übersteht App-Neustart; Server idempotent gegenüber operation_id; Delta-Sync per Cursor.</t>
  </si>
  <si>
    <t xml:space="preserve">5.6</t>
  </si>
  <si>
    <t xml:space="preserve">ST-013</t>
  </si>
  <si>
    <t xml:space="preserve">Konfliktregeln je Entität</t>
  </si>
  <si>
    <t xml:space="preserve">Als Entwickler will ich Konfliktstrategien pro Entität umsetzen, damit Konflikte fast nie beim Nutzer landen.</t>
  </si>
  <si>
    <t xml:space="preserve">Setup unveränderlich; Ride nach Finalisierung unveränderlich; Bike feldweise Last-Write-Wins; Konfliktrate messbar unter 0,1 %.</t>
  </si>
  <si>
    <t xml:space="preserve">5.6 / NFR-14</t>
  </si>
  <si>
    <t xml:space="preserve">ST-014</t>
  </si>
  <si>
    <t xml:space="preserve">Granulare Einwilligungen</t>
  </si>
  <si>
    <t xml:space="preserve">Als Nutzer will ich jede Datennutzung einzeln erlauben und widerrufen können.</t>
  </si>
  <si>
    <t xml:space="preserve">Fünf getrennte Zwecke; Widerruf ohne Nachteil für die Kernfunktion; jede Einwilligung mit Zeitpunkt und Richtlinienversion protokolliert.</t>
  </si>
  <si>
    <t xml:space="preserve">F-ACC-006 / DM-18</t>
  </si>
  <si>
    <t xml:space="preserve">ST-015</t>
  </si>
  <si>
    <t xml:space="preserve">Privatsphärenzonen</t>
  </si>
  <si>
    <t xml:space="preserve">Als Nutzer will ich Tracks rund um meine Adresse kappen lassen.</t>
  </si>
  <si>
    <t xml:space="preserve">Radius einstellbar; Kappung wirkt auf Anzeige, Export und Heatmap-Beitrag; im Onboarding aktiv angeboten.</t>
  </si>
  <si>
    <t xml:space="preserve">F-ACC-005</t>
  </si>
  <si>
    <t xml:space="preserve">ST-016</t>
  </si>
  <si>
    <t xml:space="preserve">Datenexport</t>
  </si>
  <si>
    <t xml:space="preserve">Als Nutzer will ich alle meine Daten exportieren können.</t>
  </si>
  <si>
    <t xml:space="preserve">GPX je Ride und JSON-Vollexport inklusive Garage und Setups; Auslieferung innerhalb 24 h.</t>
  </si>
  <si>
    <t xml:space="preserve">F-ACC-003</t>
  </si>
  <si>
    <t xml:space="preserve">ST-017</t>
  </si>
  <si>
    <t xml:space="preserve">Kontolöschung</t>
  </si>
  <si>
    <t xml:space="preserve">Als Nutzer will ich mein Konto in der App löschen können.</t>
  </si>
  <si>
    <t xml:space="preserve">Löschung in der App auslösbar; Bestätigung per E-Mail; vollständige Löschung inklusive Objektspeicher und Backups innerhalb 30 bzw. 90 Tagen nachweisbar.</t>
  </si>
  <si>
    <t xml:space="preserve">F-ACC-004</t>
  </si>
  <si>
    <t xml:space="preserve">ST-018</t>
  </si>
  <si>
    <t xml:space="preserve">Verschlüsselung lokaler Daten</t>
  </si>
  <si>
    <t xml:space="preserve">Als Nutzer will ich, dass meine Daten auf dem Gerät verschlüsselt liegen.</t>
  </si>
  <si>
    <t xml:space="preserve">Lokale Datenbank über Keychain bzw. Keystore verschlüsselt; Schlüssel nicht im Backup im Klartext.</t>
  </si>
  <si>
    <t xml:space="preserve">7.7</t>
  </si>
  <si>
    <t xml:space="preserve">ST-019</t>
  </si>
  <si>
    <t xml:space="preserve">E03</t>
  </si>
  <si>
    <t xml:space="preserve">Bike per Katalog anlegen</t>
  </si>
  <si>
    <t xml:space="preserve">Als Nutzer will ich mein Bike über Hersteller, Modell und Jahr anlegen, damit die Komponentenliste vorbefüllt wird.</t>
  </si>
  <si>
    <t xml:space="preserve">Erstes fahrbereites Bike im Median unter 90 s (n&gt;=8, unmoderiert); Komponenten aus der Ausstattungsliste vorbefüllt.</t>
  </si>
  <si>
    <t xml:space="preserve">F-GAR-001</t>
  </si>
  <si>
    <t xml:space="preserve">E16</t>
  </si>
  <si>
    <t xml:space="preserve">G-4</t>
  </si>
  <si>
    <t xml:space="preserve">ST-020</t>
  </si>
  <si>
    <t xml:space="preserve">Bike ohne Katalogtreffer anlegen</t>
  </si>
  <si>
    <t xml:space="preserve">Als Nutzer mit seltenem Bike will ich Kategorie, Federweg und Laufradgröße angeben und später ergänzen.</t>
  </si>
  <si>
    <t xml:space="preserve">Bike ohne Komponenten nutzbar; Funktionen mit Komponentenbedarf zeigen konkreten Hinweis mit Direktlink statt Fehlermeldung.</t>
  </si>
  <si>
    <t xml:space="preserve">ST-021</t>
  </si>
  <si>
    <t xml:space="preserve">Aktives Bike</t>
  </si>
  <si>
    <t xml:space="preserve">Als Nutzer mit mehreren Bikes will ich eines als aktiv markieren, damit die App weiß, worauf sich alles bezieht.</t>
  </si>
  <si>
    <t xml:space="preserve">Genau ein aktives Bike je Nutzer (Datenbank erzwingt es); Bike-Chip auf jedem Top-Level-Screen; Wechsel aktualisiert Discover und Shop sofort.</t>
  </si>
  <si>
    <t xml:space="preserve">F-GAR-001 / 3.1</t>
  </si>
  <si>
    <t xml:space="preserve">ST-022</t>
  </si>
  <si>
    <t xml:space="preserve">Komponentenslots pflegen</t>
  </si>
  <si>
    <t xml:space="preserve">Als Nutzer will ich jeden Komponentenslot befüllen, damit Kompatibilität und Setup funktionieren.</t>
  </si>
  <si>
    <t xml:space="preserve">60 Slots je Bike-Typ; Katalogbezug oder Freitext mit Warnhinweis; leerer Slot erscheint als Aufgabe, nicht als Fehler.</t>
  </si>
  <si>
    <t xml:space="preserve">F-GAR-002</t>
  </si>
  <si>
    <t xml:space="preserve">ST-023</t>
  </si>
  <si>
    <t xml:space="preserve">Komponentenhistorie und Laufleistung</t>
  </si>
  <si>
    <t xml:space="preserve">Als Nutzer will ich sehen, wie lange ein Teil verbaut ist und wie viel es geleistet hat.</t>
  </si>
  <si>
    <t xml:space="preserve">installed_at/removed_at je Komponente; km, Höhenmeter und Stunden aus den Rides des Einbauzeitraums aggregiert; bei Bremsen zusätzlich Abfahrts-Höhenmeter.</t>
  </si>
  <si>
    <t xml:space="preserve">F-GAR-002 / DM-05</t>
  </si>
  <si>
    <t xml:space="preserve">E09</t>
  </si>
  <si>
    <t xml:space="preserve">ST-024</t>
  </si>
  <si>
    <t xml:space="preserve">Komponente zwischen Bikes verschieben</t>
  </si>
  <si>
    <t xml:space="preserve">Als Nutzer mit zwei Bikes will ich einen Laufradsatz umsetzen, ohne die Laufleistung zu verlieren.</t>
  </si>
  <si>
    <t xml:space="preserve">Verschiebung überträgt die Laufleistung; Historie beider Bikes bleibt korrekt.</t>
  </si>
  <si>
    <t xml:space="preserve">ST-025</t>
  </si>
  <si>
    <t xml:space="preserve">Fortschrittsanzeige der Bike-Erfassung</t>
  </si>
  <si>
    <t xml:space="preserve">Als Nutzer will ich sehen, wie vollständig mein Bike erfasst ist und was der nächste sinnvolle Schritt ist.</t>
  </si>
  <si>
    <t xml:space="preserve">Prozentanzeige; genau eine konkrete nächste Aufgabe; jeder ausgefüllte Slot schaltet sichtbaren Nutzen frei.</t>
  </si>
  <si>
    <t xml:space="preserve">R-16</t>
  </si>
  <si>
    <t xml:space="preserve">Design</t>
  </si>
  <si>
    <t xml:space="preserve">ST-026</t>
  </si>
  <si>
    <t xml:space="preserve">Bike-Foto</t>
  </si>
  <si>
    <t xml:space="preserve">Als Nutzer will ich ein Foto hinterlegen, damit ich meine Bikes in der Liste erkenne.</t>
  </si>
  <si>
    <t xml:space="preserve">Foto aufnehmen oder auswählen; Zuschnitt; lokal gespeichert, Upload nur bei Konto.</t>
  </si>
  <si>
    <t xml:space="preserve">P1</t>
  </si>
  <si>
    <t xml:space="preserve">F-GAR-004</t>
  </si>
  <si>
    <t xml:space="preserve">ST-027</t>
  </si>
  <si>
    <t xml:space="preserve">Schematische Bike-Darstellung mit Hotspots</t>
  </si>
  <si>
    <t xml:space="preserve">Als Nutzer will ich mein Bike als Schema mit Statusfarben je Baugruppe sehen.</t>
  </si>
  <si>
    <t xml:space="preserve">8 Silhouetten; Hotspots je Slot; drei Zustände gepflegt/fällig/Daten fehlen; Tap öffnet die Komponente.</t>
  </si>
  <si>
    <t xml:space="preserve">v1.1–v1.3</t>
  </si>
  <si>
    <t xml:space="preserve">ST-028</t>
  </si>
  <si>
    <t xml:space="preserve">E04</t>
  </si>
  <si>
    <t xml:space="preserve">Regel-Engine mit vier Urteilen</t>
  </si>
  <si>
    <t xml:space="preserve">Als Nutzer will ich wissen, ob ein Teil passt, und im Zweifel ein ehrliches „Daten unzureichend“.</t>
  </si>
  <si>
    <t xml:space="preserve">Vier Urteile umgesetzt; fehlendes Pflichtattribut führt zwingend zu INSUFFICIENT_DATA; kein Prädikat wird bei fehlenden Werten ausgewertet.</t>
  </si>
  <si>
    <t xml:space="preserve">F-GAR-003</t>
  </si>
  <si>
    <t xml:space="preserve">ST-029</t>
  </si>
  <si>
    <t xml:space="preserve">Regel-Syntax und Auswerter</t>
  </si>
  <si>
    <t xml:space="preserve">Als Regelautor will ich Regeln deklarativ und ohne Programmierung schreiben.</t>
  </si>
  <si>
    <t xml:space="preserve">YAML-Schema; statische Prüfung; Auswerter ohne Turing-Vollständigkeit; Regelsatz versioniert.</t>
  </si>
  <si>
    <t xml:space="preserve">6.6</t>
  </si>
  <si>
    <t xml:space="preserve">Begründungskette anzeigen</t>
  </si>
  <si>
    <t xml:space="preserve">Als Nutzer will ich sehen, warum ein Urteil zustande kam.</t>
  </si>
  <si>
    <t xml:space="preserve">Regel-ID, verglichene Werte, Quelle je Wert mit Datum; von jedem Urteil per Tap erreichbar.</t>
  </si>
  <si>
    <t xml:space="preserve">F-GAR-003.2</t>
  </si>
  <si>
    <t xml:space="preserve">ST-031</t>
  </si>
  <si>
    <t xml:space="preserve">Regel-Regressionsset</t>
  </si>
  <si>
    <t xml:space="preserve">Als Qualitätsverantwortlicher will ich, dass keine Regel ohne Tests in Produktion geht.</t>
  </si>
  <si>
    <t xml:space="preserve">Mindestens drei Testfälle je Regel (pass/fail/insufficient); Build lehnt Regeln ohne Tests ab.</t>
  </si>
  <si>
    <t xml:space="preserve">QA</t>
  </si>
  <si>
    <t xml:space="preserve">ST-032</t>
  </si>
  <si>
    <t xml:space="preserve">Zweitprüfung sicherheitskritischer Regeln</t>
  </si>
  <si>
    <t xml:space="preserve">Als Produktverantwortlicher will ich, dass sicherheitskritische Regeln vier Augen gesehen haben.</t>
  </si>
  <si>
    <t xml:space="preserve">reviewed_by und reviewed_at sind Pflichtfelder; Auslieferung ohne Zweitprüfung technisch blockiert.</t>
  </si>
  <si>
    <t xml:space="preserve">DM-14</t>
  </si>
  <si>
    <t xml:space="preserve">ST-033</t>
  </si>
  <si>
    <t xml:space="preserve">Prüfprotokoll speichern</t>
  </si>
  <si>
    <t xml:space="preserve">Als Betreiber will ich jede Prüfung mit Regelsatzversion protokollieren, damit vergangene Urteile rekonstruierbar bleiben.</t>
  </si>
  <si>
    <t xml:space="preserve">compatibility_check mit Belegen und Regelsatzversion; Aufbewahrung 24 Monate.</t>
  </si>
  <si>
    <t xml:space="preserve">DM-15</t>
  </si>
  <si>
    <t xml:space="preserve">ST-034</t>
  </si>
  <si>
    <t xml:space="preserve">Sicherheitshinweise und Drehmomente</t>
  </si>
  <si>
    <t xml:space="preserve">Als Nutzer will ich bei sicherheitsrelevanten Teilen den Werkstatthinweis und die Herstellerdrehmomente sehen.</t>
  </si>
  <si>
    <t xml:space="preserve">Hinweis bei 9 definierten Kategorien; Drehmomente ausschließlich aus Herstellerdokumenten, nie geschätzt.</t>
  </si>
  <si>
    <t xml:space="preserve">F-GAR-003.3</t>
  </si>
  <si>
    <t xml:space="preserve">ST-035</t>
  </si>
  <si>
    <t xml:space="preserve">Fehlendes Attribut ergänzen</t>
  </si>
  <si>
    <t xml:space="preserve">Als Nutzer will ich ein fehlendes Merkmal selbst nachtragen und sofort ein neues Urteil bekommen.</t>
  </si>
  <si>
    <t xml:space="preserve">Aufforderung nennt das konkrete Attribut; Neuprüfung unmittelbar; Nutzereingabe als Quelle gekennzeichnet.</t>
  </si>
  <si>
    <t xml:space="preserve">F-GAR-003.1</t>
  </si>
  <si>
    <t xml:space="preserve">ST-036</t>
  </si>
  <si>
    <t xml:space="preserve">E05</t>
  </si>
  <si>
    <t xml:space="preserve">Setup als unveränderliche Version</t>
  </si>
  <si>
    <t xml:space="preserve">Als Nutzer will ich, dass jede Setup-Änderung eine neue Version erzeugt, damit meine Historie belastbar bleibt.</t>
  </si>
  <si>
    <t xml:space="preserve">Neue Version mit Verweis auf die Vorgängerversion; alte Versionen nie überschrieben; genau ein aktuelles Setup je Bike.</t>
  </si>
  <si>
    <t xml:space="preserve">F-SET-001 / DM-06</t>
  </si>
  <si>
    <t xml:space="preserve">ST-037</t>
  </si>
  <si>
    <t xml:space="preserve">Generischer Setup-Editor</t>
  </si>
  <si>
    <t xml:space="preserve">Als Nutzer will ich nur die Regler sehen, die meine Komponente tatsächlich hat.</t>
  </si>
  <si>
    <t xml:space="preserve">Regler werden aus dem Katalogeintrag abgeleitet; Klick-Stepper mit Haptik; Herstellergrenzen als harter Anschlag mit Erklärung.</t>
  </si>
  <si>
    <t xml:space="preserve">F-SET-001 / DM-03</t>
  </si>
  <si>
    <t xml:space="preserve">ST-038</t>
  </si>
  <si>
    <t xml:space="preserve">Einheiten und Klick-Referenz</t>
  </si>
  <si>
    <t xml:space="preserve">Als Nutzer will ich psi oder bar sehen und wissen, ob von offen oder von geschlossen gezählt wird.</t>
  </si>
  <si>
    <t xml:space="preserve">Speicherung in SI-Einheiten; Anzeige nach Nutzerpräferenz; Klicks intern immer von geschlossen, Anzeige folgt der Herstellerkonvention und benennt sie.</t>
  </si>
  <si>
    <t xml:space="preserve">6.4</t>
  </si>
  <si>
    <t xml:space="preserve">ST-039</t>
  </si>
  <si>
    <t xml:space="preserve">Werte außerhalb der Herstellergrenzen</t>
  </si>
  <si>
    <t xml:space="preserve">Als Nutzer will ich abweichende Werte eintragen dürfen, aber deutlich gewarnt werden.</t>
  </si>
  <si>
    <t xml:space="preserve">Eingabe möglich, rot markiert, out_of_spec gesetzt; Empfehlungs-Engine schlägt solche Werte niemals vor.</t>
  </si>
  <si>
    <t xml:space="preserve">F-SET-001</t>
  </si>
  <si>
    <t xml:space="preserve">ST-040</t>
  </si>
  <si>
    <t xml:space="preserve">Setup-Fingerprint</t>
  </si>
  <si>
    <t xml:space="preserve">Als Nutzer will ich zwei Setups auf einen Blick vergleichen.</t>
  </si>
  <si>
    <t xml:space="preserve">Drei Größen; Diff-Modus hebt Unterschiede hervor; überall antippbar; nie ohne Legende beim Erstkontakt.</t>
  </si>
  <si>
    <t xml:space="preserve">4.5</t>
  </si>
  <si>
    <t xml:space="preserve">ST-041</t>
  </si>
  <si>
    <t xml:space="preserve">Setup-Historie als Zeitstrahl</t>
  </si>
  <si>
    <t xml:space="preserve">Als Nutzer will ich sehen, was ich wann geändert habe und was dabei herauskam.</t>
  </si>
  <si>
    <t xml:space="preserve">Zeitstrahl mit Änderungsdelta je Version; verknüpfte Rides sichtbar.</t>
  </si>
  <si>
    <t xml:space="preserve">4.7.2</t>
  </si>
  <si>
    <t xml:space="preserve">ST-042</t>
  </si>
  <si>
    <t xml:space="preserve">Bracketing-Serie anlegen</t>
  </si>
  <si>
    <t xml:space="preserve">Als Nutzer will ich einen einzelnen Parameter systematisch testen.</t>
  </si>
  <si>
    <t xml:space="preserve">Genau ein Parameter je Serie, zweiter Parameter wird blockiert mit Erklärung; Testbereich und Schrittweite wählbar; Referenzsegment wählbar.</t>
  </si>
  <si>
    <t xml:space="preserve">F-SET-003</t>
  </si>
  <si>
    <t xml:space="preserve">ST-043</t>
  </si>
  <si>
    <t xml:space="preserve">Segment-Wiedererkennung</t>
  </si>
  <si>
    <t xml:space="preserve">Als Nutzer will ich, dass die App erkennt, wenn ich dasselbe Segment erneut fahre.</t>
  </si>
  <si>
    <t xml:space="preserve">Abgleich über Geometrie, Höhenprofil und Sensorsignatur; match_quality je Durchgang; bei geringer Übereinstimmung keine Wertung statt einer falschen.</t>
  </si>
  <si>
    <t xml:space="preserve">F-SET-003 / R-14</t>
  </si>
  <si>
    <t xml:space="preserve">ST-044</t>
  </si>
  <si>
    <t xml:space="preserve">Statistische Auswertung des Bracketings</t>
  </si>
  <si>
    <t xml:space="preserve">Als Nutzer will ich nur dann „besser“ hören, wenn es wirklich belegt ist.</t>
  </si>
  <si>
    <t xml:space="preserve">Mindestens zwei Durchgänge je Konfiguration; Effekt gilt nur bei |Δ| &gt; 1,5 × gepoolte Streuung; „kein belegbarer Unterschied“ ist ein gültiges Ergebnis und wird gespeichert.</t>
  </si>
  <si>
    <t xml:space="preserve">ST-045</t>
  </si>
  <si>
    <t xml:space="preserve">Blindtest-Regression</t>
  </si>
  <si>
    <t xml:space="preserve">Als Qualitätsverantwortlicher will ich sicherstellen, dass die App bei identischem Setup keinen Unterschied behauptet.</t>
  </si>
  <si>
    <t xml:space="preserve">Bei identischem Setup in beiden Konfigurationen meldet die App in mindestens 90 % der Fälle „kein belegbarer Unterschied“; Teil der Release-Regression.</t>
  </si>
  <si>
    <t xml:space="preserve">ST-046</t>
  </si>
  <si>
    <t xml:space="preserve">Subjektives Feedback erfassen</t>
  </si>
  <si>
    <t xml:space="preserve">Als Nutzer will ich mein Fahrgefühl in drei Taps festhalten.</t>
  </si>
  <si>
    <t xml:space="preserve">Gesamtgefühl 1–5; kategoriale Folgefragen statt Freitext; überspringbar; maschinell auswertbar.</t>
  </si>
  <si>
    <t xml:space="preserve">F-SET-004</t>
  </si>
  <si>
    <t xml:space="preserve">E11</t>
  </si>
  <si>
    <t xml:space="preserve">ST-047</t>
  </si>
  <si>
    <t xml:space="preserve">Setup-Vorlagen</t>
  </si>
  <si>
    <t xml:space="preserve">Als Nutzer will ich mit einem sinnvollen Ausgangssetup starten.</t>
  </si>
  <si>
    <t xml:space="preserve">Herstellertabelle nach Fahrergewicht; redaktionelle Vorlagen; klar als Ausgangspunkt gekennzeichnet, nicht als Empfehlung.</t>
  </si>
  <si>
    <t xml:space="preserve">F-SET-002</t>
  </si>
  <si>
    <t xml:space="preserve">ST-048</t>
  </si>
  <si>
    <t xml:space="preserve">E06</t>
  </si>
  <si>
    <t xml:space="preserve">Wartungslog</t>
  </si>
  <si>
    <t xml:space="preserve">Als Nutzer will ich Wartungen protokollieren.</t>
  </si>
  <si>
    <t xml:space="preserve">Datum, Komponente, Tätigkeit, Kosten, Werkstatt/Eigen, Notiz, Fotos; nur anfügend.</t>
  </si>
  <si>
    <t xml:space="preserve">F-GAR-005</t>
  </si>
  <si>
    <t xml:space="preserve">ST-049</t>
  </si>
  <si>
    <t xml:space="preserve">Intervall-Erinnerungen</t>
  </si>
  <si>
    <t xml:space="preserve">Als Nutzer will ich erinnert werden, bevor etwas fällig ist.</t>
  </si>
  <si>
    <t xml:space="preserve">Intervalle nach km, Stunden oder Tagen; Vorgaben aus Herstellerangaben, überschreibbar; Push-Benachrichtigung.</t>
  </si>
  <si>
    <t xml:space="preserve">ST-050</t>
  </si>
  <si>
    <t xml:space="preserve">Belastungsgewichtete Verschleißprognose</t>
  </si>
  <si>
    <t xml:space="preserve">Als Nutzer will ich eine Prognose, die meine tatsächliche Belastung berücksichtigt.</t>
  </si>
  <si>
    <t xml:space="preserve">Bremsbeläge skalieren mit Abfahrts-Höhenmetern und Bremsereignissen; Kette mit Zeit unter Last und Nässe; Ausgabe immer als Spanne, nie als Punktwert.</t>
  </si>
  <si>
    <t xml:space="preserve">ST-051</t>
  </si>
  <si>
    <t xml:space="preserve">E07</t>
  </si>
  <si>
    <t xml:space="preserve">Sensorerfassung 200 Hz</t>
  </si>
  <si>
    <t xml:space="preserve">Als Nutzer will ich, dass die App meine Fahrt lückenlos aufzeichnet.</t>
  </si>
  <si>
    <t xml:space="preserve">Beschleunigung und Gyroskop 200 Hz, Magnetometer 25 Hz, Barometer plattformabhängig; Sample-Verlust unter 0,5 % über 2 h; Sättigung wird erkannt und markiert.</t>
  </si>
  <si>
    <t xml:space="preserve">F-SEN-001 / NFR-05</t>
  </si>
  <si>
    <t xml:space="preserve">ST-052</t>
  </si>
  <si>
    <t xml:space="preserve">Gerätematrix Sensorreichweite</t>
  </si>
  <si>
    <t xml:space="preserve">Als ML-Ingenieur will ich wissen, welche Geräte bei ±8 g sättigen.</t>
  </si>
  <si>
    <t xml:space="preserve">Reale Reichweite je Referenzgerät gemessen; eingeschränkte Geräte in der App gekennzeichnet.</t>
  </si>
  <si>
    <t xml:space="preserve">A-11</t>
  </si>
  <si>
    <t xml:space="preserve">ST-053</t>
  </si>
  <si>
    <t xml:space="preserve">Montage-Erkennung</t>
  </si>
  <si>
    <t xml:space="preserve">Als Nutzer will ich nicht selbst einstellen müssen, wo mein Handy steckt.</t>
  </si>
  <si>
    <t xml:space="preserve">Automatische Erkennung über Orientierungsstabilität und Vibrationsspektrum; Ergebnis wird immer zur Bestätigung vorgelegt.</t>
  </si>
  <si>
    <t xml:space="preserve">F-SEN-002</t>
  </si>
  <si>
    <t xml:space="preserve">ST-054</t>
  </si>
  <si>
    <t xml:space="preserve">Kalibrierung Ausrichtung</t>
  </si>
  <si>
    <t xml:space="preserve">Als Nutzer will ich in wenigen Sekunden kalibrieren.</t>
  </si>
  <si>
    <t xml:space="preserve">5 s Stillstand ergibt das Montage-Quaternion; Gierwinkel aus den ersten 30 s Fahrt ergänzt; Testabdeckung für den nicht bestimmbaren Gierwinkel im Stand.</t>
  </si>
  <si>
    <t xml:space="preserve">7.2</t>
  </si>
  <si>
    <t xml:space="preserve">ST-055</t>
  </si>
  <si>
    <t xml:space="preserve">Kalibrierung Federungsantwort</t>
  </si>
  <si>
    <t xml:space="preserve">Als Nutzer will ich, dass die App das Dämpfungsverhalten meiner Gabel misst.</t>
  </si>
  <si>
    <t xml:space="preserve">Drei Kompressionen; ζ und f_n aus dem logarithmischen Dekrement; drei Wiederholungen; Verwerfen bei Variationskoeffizient über 20 %.</t>
  </si>
  <si>
    <t xml:space="preserve">ST-056</t>
  </si>
  <si>
    <t xml:space="preserve">SAG geführt erfassen</t>
  </si>
  <si>
    <t xml:space="preserve">Als Nutzer will ich meinen SAG korrekt eintragen.</t>
  </si>
  <si>
    <t xml:space="preserve">Geführter Ablauf mit O-Ring in mm; optional kamerabasiert mit Referenzmarker; ausdrücklich nicht aus Beschleunigungsdaten geschätzt.</t>
  </si>
  <si>
    <t xml:space="preserve">ST-057</t>
  </si>
  <si>
    <t xml:space="preserve">Kalibrierung verfällt bei Änderung</t>
  </si>
  <si>
    <t xml:space="preserve">Als Nutzer will ich gewarnt werden, wenn meine Kalibrierung nicht mehr gilt.</t>
  </si>
  <si>
    <t xml:space="preserve">Wechsel von Halterung, Gabel oder Dämpfer invalidiert die Kalibrierung; Hinweis beim nächsten Ride-Start mit Wahlmöglichkeit.</t>
  </si>
  <si>
    <t xml:space="preserve">Flow F</t>
  </si>
  <si>
    <t xml:space="preserve">ST-058</t>
  </si>
  <si>
    <t xml:space="preserve">Rohdatenformat und Speicherbudget</t>
  </si>
  <si>
    <t xml:space="preserve">Als Entwickler will ich Rohdaten kompakt ablegen.</t>
  </si>
  <si>
    <t xml:space="preserve">int16-Delta, zstd, 60-s-Blöcke; höchstens 4 MB/h; 30 Tage rollierend lokal; Upload nur bei WLAN und Einwilligung.</t>
  </si>
  <si>
    <t xml:space="preserve">F-SEN-006 / NFR-07</t>
  </si>
  <si>
    <t xml:space="preserve">ST-059</t>
  </si>
  <si>
    <t xml:space="preserve">E08</t>
  </si>
  <si>
    <t xml:space="preserve">Schräglage korrekt berechnen</t>
  </si>
  <si>
    <t xml:space="preserve">Als Nutzer will ich meine echte Schräglage sehen, nicht die scheinbare.</t>
  </si>
  <si>
    <t xml:space="preserve">Berechnung aus Geschwindigkeit und Gierrate, nicht aus dem Gravitationsvektor; gültig ab 8 km/h; Plausibilisierung gegen die fusionierte Lage.</t>
  </si>
  <si>
    <t xml:space="preserve">7.3</t>
  </si>
  <si>
    <t xml:space="preserve">ST-060</t>
  </si>
  <si>
    <t xml:space="preserve">Impact-Erkennung und Klassifikation</t>
  </si>
  <si>
    <t xml:space="preserve">Als Nutzer will ich wissen, wie hart meine Schläge waren.</t>
  </si>
  <si>
    <t xml:space="preserve">Adaptiver Schwellwert plus Ruck-Kriterium; drei Härteklassen nach Energieinhalt; Sättigungsereignisse senken die Konfidenz des Abschnitts.</t>
  </si>
  <si>
    <t xml:space="preserve">F-SEN-003</t>
  </si>
  <si>
    <t xml:space="preserve">ST-061</t>
  </si>
  <si>
    <t xml:space="preserve">Flow-Score mit offenen Teilwerten</t>
  </si>
  <si>
    <t xml:space="preserve">Als Nutzer will ich verstehen, woraus mein Flow-Score entsteht.</t>
  </si>
  <si>
    <t xml:space="preserve">Vier Teilwerte einzeln sichtbar; Terrainnormierung; kein nutzerübergreifender Vergleich, keine öffentlichen Bestenlisten.</t>
  </si>
  <si>
    <t xml:space="preserve">F-SEN-004 / R-09</t>
  </si>
  <si>
    <t xml:space="preserve">ST-062</t>
  </si>
  <si>
    <t xml:space="preserve">Federweg-Nutzungs-Index</t>
  </si>
  <si>
    <t xml:space="preserve">Als Nutzer will ich einschätzen können, wie stark ich mein Fahrwerk genutzt habe.</t>
  </si>
  <si>
    <t xml:space="preserve">Index 0–100 mit Konfidenz, normiert auf die Historie desselben Bikes; niemals Millimeter oder Prozent des Federwegs; nur bei bestätigter Lenker-/Vorbaumontage.</t>
  </si>
  <si>
    <t xml:space="preserve">F-SEN-003 / 0.4.2</t>
  </si>
  <si>
    <t xml:space="preserve">G-2</t>
  </si>
  <si>
    <t xml:space="preserve">ST-063</t>
  </si>
  <si>
    <t xml:space="preserve">Durchschlagsverdacht</t>
  </si>
  <si>
    <t xml:space="preserve">Als Nutzer will ich erfahren, wenn mein Fahrwerk vermutlich durchgeschlagen ist.</t>
  </si>
  <si>
    <t xml:space="preserve">Eigener Detektor auf steilflankige Verzögerungsspitze; Ausgabe stets als Verdacht mit Konfidenz.</t>
  </si>
  <si>
    <t xml:space="preserve">ST-064</t>
  </si>
  <si>
    <t xml:space="preserve">Metriken ausblenden statt leer zeigen</t>
  </si>
  <si>
    <t xml:space="preserve">Als Nutzer will ich klar sehen, wenn eine Analyse nicht möglich ist.</t>
  </si>
  <si>
    <t xml:space="preserve">Ohne Lenkermontage oder Kalibrierung erscheint eine Erklärung mit Handlungsoption, keine ausgegrauten Platzhalterwerte.</t>
  </si>
  <si>
    <t xml:space="preserve">ST-065</t>
  </si>
  <si>
    <t xml:space="preserve">Terrainklassifikation auf dem Gerät</t>
  </si>
  <si>
    <t xml:space="preserve">Als ML-Ingenieur will ich Abschnitte klassifizieren, damit Metriken vergleichbar normiert werden.</t>
  </si>
  <si>
    <t xml:space="preserve">On-Device-Modell; Laufzeit im Budget; Score ohne Terrainklasse wird nicht ausgegeben.</t>
  </si>
  <si>
    <t xml:space="preserve">7.1</t>
  </si>
  <si>
    <t xml:space="preserve">ST-066</t>
  </si>
  <si>
    <t xml:space="preserve">Validierungsstudie durchführen</t>
  </si>
  <si>
    <t xml:space="preserve">Als Produktverantwortlicher will ich die Fahrwerksfunktionen gegen echte Messtechnik prüfen.</t>
  </si>
  <si>
    <t xml:space="preserve">Mind. 12 Fahrer, 6 Bikes, 3 Halterungstypen, 40 Fahrstunden, 20 % nass; sieben Bestehenskriterien vorab festgelegt; Ergebnis dokumentiert.</t>
  </si>
  <si>
    <t xml:space="preserve">7.5</t>
  </si>
  <si>
    <t xml:space="preserve">ST-067</t>
  </si>
  <si>
    <t xml:space="preserve">Referenz-Messaufbau</t>
  </si>
  <si>
    <t xml:space="preserve">Als ML-Ingenieur will ich zeitsynchrone Referenzdaten von linearen Wegaufnehmern.</t>
  </si>
  <si>
    <t xml:space="preserve">Messaufbau an Gabel und Dämpfer; Synchronisation mit dem Smartphone unter 10 ms; Datensatz reproduzierbar abgelegt.</t>
  </si>
  <si>
    <t xml:space="preserve">ST-068</t>
  </si>
  <si>
    <t xml:space="preserve">Ride starten und beenden</t>
  </si>
  <si>
    <t xml:space="preserve">Als Nutzer will ich eine Fahrt sicher starten und beenden.</t>
  </si>
  <si>
    <t xml:space="preserve">Startbutton mind. 72 dp im unteren Drittel; Beenden erfordert zwei Interaktionen; Aufzeichnungszustand ohne Lesen erkennbar plus dauerhafte Benachrichtigung.</t>
  </si>
  <si>
    <t xml:space="preserve">4.7.3</t>
  </si>
  <si>
    <t xml:space="preserve">ST-069</t>
  </si>
  <si>
    <t xml:space="preserve">Hintergrundaufzeichnung</t>
  </si>
  <si>
    <t xml:space="preserve">Als Nutzer will ich, dass die Aufzeichnung weiterläuft, wenn das Display aus ist.</t>
  </si>
  <si>
    <t xml:space="preserve">Foreground Service bzw. Hintergrundstandort; Datenverlust bei Prozess-Kill höchstens 60 s; Chaos-Test bestanden.</t>
  </si>
  <si>
    <t xml:space="preserve">NFR-11</t>
  </si>
  <si>
    <t xml:space="preserve">ST-070</t>
  </si>
  <si>
    <t xml:space="preserve">Halterungs-Check vor dem Start</t>
  </si>
  <si>
    <t xml:space="preserve">Als Nutzer will ich vor der Fahrt wissen, ob die Fahrwerksanalyse aktiv sein wird.</t>
  </si>
  <si>
    <t xml:space="preserve">Abfrage der Montage; bei fehlender Kalibrierung Angebot mit Zeitangabe; Zustand vor dem Start eindeutig sichtbar.</t>
  </si>
  <si>
    <t xml:space="preserve">Flow B</t>
  </si>
  <si>
    <t xml:space="preserve">ST-071</t>
  </si>
  <si>
    <t xml:space="preserve">Drei Live-Ebenen</t>
  </si>
  <si>
    <t xml:space="preserve">Als Nutzer will ich zwischen Karte, Daten und Fahrwerk wechseln.</t>
  </si>
  <si>
    <t xml:space="preserve">Drei wischbare Ebenen; im Handschuh-Modus zusätzlich über große Buttons; Wechsel ohne Ruckeln.</t>
  </si>
  <si>
    <t xml:space="preserve">E10</t>
  </si>
  <si>
    <t xml:space="preserve">ST-072</t>
  </si>
  <si>
    <t xml:space="preserve">Konfigurierbare Datenkacheln</t>
  </si>
  <si>
    <t xml:space="preserve">Als Nutzer will ich selbst wählen, welche Werte ich sehe.</t>
  </si>
  <si>
    <t xml:space="preserve">2×3 Kacheln frei belegbar; Tabellenziffern; Werte springen in der Breite nicht.</t>
  </si>
  <si>
    <t xml:space="preserve">ST-073</t>
  </si>
  <si>
    <t xml:space="preserve">Automatische Pause</t>
  </si>
  <si>
    <t xml:space="preserve">Als Nutzer will ich, dass Standzeiten nicht als Fahrzeit zählen.</t>
  </si>
  <si>
    <t xml:space="preserve">Pause unter 2 km/h für über 30 s; Schwelle konfigurierbar; Fortsetzung automatisch.</t>
  </si>
  <si>
    <t xml:space="preserve">ST-074</t>
  </si>
  <si>
    <t xml:space="preserve">Live-Hinweise begrenzen</t>
  </si>
  <si>
    <t xml:space="preserve">Als Nutzer will ich während der Fahrt nicht zum Ablesen verleitet werden.</t>
  </si>
  <si>
    <t xml:space="preserve">Nur kurze Sprachhinweise bis 6 Wörter; ausführliche Hinweise erst im Stand oder nach der Fahrt; keine Netzabhängigkeit im Ride-Screen.</t>
  </si>
  <si>
    <t xml:space="preserve">F-SEN-005</t>
  </si>
  <si>
    <t xml:space="preserve">ST-075</t>
  </si>
  <si>
    <t xml:space="preserve">Post-Ride-Verarbeitung auf dem Gerät</t>
  </si>
  <si>
    <t xml:space="preserve">Als Nutzer will ich meine Auswertung sofort sehen.</t>
  </si>
  <si>
    <t xml:space="preserve">2-h-Ride in unter 8 s verarbeitet; funktioniert ohne Netz.</t>
  </si>
  <si>
    <t xml:space="preserve">NFR-06</t>
  </si>
  <si>
    <t xml:space="preserve">ST-076</t>
  </si>
  <si>
    <t xml:space="preserve">Sieben Routing-Profile</t>
  </si>
  <si>
    <t xml:space="preserve">Als Nutzer will ich Routen passend zu meiner Sportart.</t>
  </si>
  <si>
    <t xml:space="preserve">Sieben Profile mit eigener Kostenfunktion auf Basis vorhandener OSM-Attribute; identisches Ergebnis online und offline.</t>
  </si>
  <si>
    <t xml:space="preserve">F-NAV-001 / 5.4</t>
  </si>
  <si>
    <t xml:space="preserve">ST-077</t>
  </si>
  <si>
    <t xml:space="preserve">Kachel-Pipeline</t>
  </si>
  <si>
    <t xml:space="preserve">Als Betreiber will ich Vektorkacheln selbst erzeugen und ausliefern.</t>
  </si>
  <si>
    <t xml:space="preserve">OSM-PBF über Planetiler zu PMTiles; CDN-Auslieferung; monatliche Aktualisierung; Versionsstempel je Region.</t>
  </si>
  <si>
    <t xml:space="preserve">8.4</t>
  </si>
  <si>
    <t xml:space="preserve">ST-078</t>
  </si>
  <si>
    <t xml:space="preserve">Kartendarstellung</t>
  </si>
  <si>
    <t xml:space="preserve">Als Nutzer will ich eine flüssige Karte mit unserem Design.</t>
  </si>
  <si>
    <t xml:space="preserve">MapLibre GL Native; eigener Stil aus den Design-Token; mind. 58 fps im Ride-Screen.</t>
  </si>
  <si>
    <t xml:space="preserve">NFR-02</t>
  </si>
  <si>
    <t xml:space="preserve">ST-079</t>
  </si>
  <si>
    <t xml:space="preserve">Offline-Regionen laden</t>
  </si>
  <si>
    <t xml:space="preserve">Als Nutzer will ich Karten und Routing offline mitnehmen.</t>
  </si>
  <si>
    <t xml:space="preserve">Auswahl nach Ausschnitt oder Verwaltungsgebiet; Größe wird vorab genannt; 10.000 km² inkl. Routing und Höhe höchstens 350 MB.</t>
  </si>
  <si>
    <t xml:space="preserve">F-NAV-002 / NFR-08</t>
  </si>
  <si>
    <t xml:space="preserve">ST-080</t>
  </si>
  <si>
    <t xml:space="preserve">Offline-Routing auf dem Gerät</t>
  </si>
  <si>
    <t xml:space="preserve">Als Nutzer will ich ohne Netz routen können.</t>
  </si>
  <si>
    <t xml:space="preserve">Valhalla auf dem Gerät; identisches Ergebnis wie serverseitig; Regressionsvergleich in CI.</t>
  </si>
  <si>
    <t xml:space="preserve">F-NAV-002</t>
  </si>
  <si>
    <t xml:space="preserve">ST-081</t>
  </si>
  <si>
    <t xml:space="preserve">Turn-by-Turn mit Sprache</t>
  </si>
  <si>
    <t xml:space="preserve">Als Nutzer will ich Ansagen statt aufs Display zu schauen.</t>
  </si>
  <si>
    <t xml:space="preserve">Ansagen bei 400/150/30 m, über 25 km/h zeitbasiert; Warnung bei steiler Abfahrt und Schwierigkeitswechsel; Audio-Ducking; Ausgabe über Bluetooth-Headset.</t>
  </si>
  <si>
    <t xml:space="preserve">F-NAV-003</t>
  </si>
  <si>
    <t xml:space="preserve">ST-082</t>
  </si>
  <si>
    <t xml:space="preserve">Höhenprofil mit Oberflächen- und Schwierigkeitsband</t>
  </si>
  <si>
    <t xml:space="preserve">Als Nutzer will ich vor der Fahrt sehen, was mich erwartet.</t>
  </si>
  <si>
    <t xml:space="preserve">Steigungsfarbcodierung; zwei Bänder aus OSM-Attributen; Datenlücken sichtbar, nicht kaschiert; Antippen setzt den Kartenmarker.</t>
  </si>
  <si>
    <t xml:space="preserve">F-NAV-007</t>
  </si>
  <si>
    <t xml:space="preserve">ST-083</t>
  </si>
  <si>
    <t xml:space="preserve">Anteil ungetaggter Wege ausweisen</t>
  </si>
  <si>
    <t xml:space="preserve">Als Nutzer will ich wissen, wie sicher die Wegbewertung ist.</t>
  </si>
  <si>
    <t xml:space="preserve">Fehlendes Tagging führt nicht zu optimistischer Bewertung; Routenzusammenfassung nennt den Anteil unsicherer Kilometer.</t>
  </si>
  <si>
    <t xml:space="preserve">F-NAV-001</t>
  </si>
  <si>
    <t xml:space="preserve">ST-084</t>
  </si>
  <si>
    <t xml:space="preserve">Regelebene Wegerecht</t>
  </si>
  <si>
    <t xml:space="preserve">Als Betreiber will ich regionale Befahrbarkeitsregeln abbilden.</t>
  </si>
  <si>
    <t xml:space="preserve">Versionierte Regelebene je Jurisdiktion; kein aktives Routing über gesperrte Wege; halbjährliche Rechtsprüfung terminiert.</t>
  </si>
  <si>
    <t xml:space="preserve">F-NAV-001.1</t>
  </si>
  <si>
    <t xml:space="preserve">G-5</t>
  </si>
  <si>
    <t xml:space="preserve">ST-085</t>
  </si>
  <si>
    <t xml:space="preserve">Routenplaner</t>
  </si>
  <si>
    <t xml:space="preserve">Als Nutzer will ich Routen selbst planen.</t>
  </si>
  <si>
    <t xml:space="preserve">Wegpunkte, Rundkurs nach Zeit oder Distanz, Profilwechsel; Speichern; GPX-Import.</t>
  </si>
  <si>
    <t xml:space="preserve">Flow E</t>
  </si>
  <si>
    <t xml:space="preserve">ST-086</t>
  </si>
  <si>
    <t xml:space="preserve">Heatmaps</t>
  </si>
  <si>
    <t xml:space="preserve">Als Nutzer will ich beliebte Wege erkennen.</t>
  </si>
  <si>
    <t xml:space="preserve">Nur eigene aggregierte Daten; Anzeige erst ab 5 verschiedenen Nutzern; Fang auf OSM-Geometrie; keine Zeitstempel; Privatsphärenzonen ausgeschlossen.</t>
  </si>
  <si>
    <t xml:space="preserve">P2</t>
  </si>
  <si>
    <t xml:space="preserve">Phase 2</t>
  </si>
  <si>
    <t xml:space="preserve">F-NAV-005</t>
  </si>
  <si>
    <t xml:space="preserve">ST-087</t>
  </si>
  <si>
    <t xml:space="preserve">Trail View</t>
  </si>
  <si>
    <t xml:space="preserve">Als Nutzer will ich sehen, wie ein Weg aussieht.</t>
  </si>
  <si>
    <t xml:space="preserve">Mapillary-Bilder mit Namensnennung plus eigene Fotos mit Geobezug und Blickrichtung; keine Einbettung lizenzrechtlich unzulässiger Dienste.</t>
  </si>
  <si>
    <t xml:space="preserve">F-NAV-006</t>
  </si>
  <si>
    <t xml:space="preserve">ST-088</t>
  </si>
  <si>
    <t xml:space="preserve">Post-Ride-Zusammenfassung</t>
  </si>
  <si>
    <t xml:space="preserve">Als Nutzer will ich nach der Fahrt die Fakten sehen.</t>
  </si>
  <si>
    <t xml:space="preserve">Track, Distanz, Höhenmeter, Zeit, Bike und Setup-Fingerprint; erst Fakten, dann Beobachtungen, dann genau eine Handlung.</t>
  </si>
  <si>
    <t xml:space="preserve">4.7.4</t>
  </si>
  <si>
    <t xml:space="preserve">ST-089</t>
  </si>
  <si>
    <t xml:space="preserve">Fahrwerksauswertung anzeigen</t>
  </si>
  <si>
    <t xml:space="preserve">Als Nutzer will ich sehen, wie mein Fahrwerk gearbeitet hat.</t>
  </si>
  <si>
    <t xml:space="preserve">Indexverlauf über die Strecke, Impact-Histogramm, Aktivität je Abschnitt; jede Kachel mit Konfidenzangabe.</t>
  </si>
  <si>
    <t xml:space="preserve">ST-090</t>
  </si>
  <si>
    <t xml:space="preserve">Segmentauswertung</t>
  </si>
  <si>
    <t xml:space="preserve">Als Nutzer will ich meine Abschnitte einzeln bewertet sehen.</t>
  </si>
  <si>
    <t xml:space="preserve">Erkannte Abschnitte mit Flow-Score und vier Teilwerten; Vergleich nur innerhalb derselben Terrainklasse.</t>
  </si>
  <si>
    <t xml:space="preserve">DM-13</t>
  </si>
  <si>
    <t xml:space="preserve">ST-091</t>
  </si>
  <si>
    <t xml:space="preserve">Setup-Empfehlungs-Engine</t>
  </si>
  <si>
    <t xml:space="preserve">Als Nutzer will ich eine konkrete, begründete Empfehlung statt Allgemeinplätzen.</t>
  </si>
  <si>
    <t xml:space="preserve">Höchstens eine Empfehlung je Ride; mindestens zwei unabhängige Belege; niemals außerhalb der Herstellergrenzen; keine sicherheitsrelevanten Eingriffe; bei niedriger Konfidenz nur Beobachtung ohne Handlungsaufforderung.</t>
  </si>
  <si>
    <t xml:space="preserve">7.4 / F-AI-003</t>
  </si>
  <si>
    <t xml:space="preserve">ST-092</t>
  </si>
  <si>
    <t xml:space="preserve">Empfehlungskarte mit Beleg</t>
  </si>
  <si>
    <t xml:space="preserve">Als Nutzer will ich sehen, worauf eine Empfehlung beruht.</t>
  </si>
  <si>
    <t xml:space="preserve">Pflichtfelder Wert, Begründung, erwartete Wirkung, Grenzen, Konfidenz; Beleg-Sheet mit den auslösenden Datenpunkten.</t>
  </si>
  <si>
    <t xml:space="preserve">F-AI-003</t>
  </si>
  <si>
    <t xml:space="preserve">ST-093</t>
  </si>
  <si>
    <t xml:space="preserve">Empfehlung annehmen oder ablehnen</t>
  </si>
  <si>
    <t xml:space="preserve">Als Nutzer will ich eine Empfehlung übernehmen, damit sie als neues Setup entsteht.</t>
  </si>
  <si>
    <t xml:space="preserve">Annahme erzeugt eine neue Setup-Version; Ablehnung mit Grund; Status fließt in die Nordstern-Metrik.</t>
  </si>
  <si>
    <t xml:space="preserve">DM-17</t>
  </si>
  <si>
    <t xml:space="preserve">ST-094</t>
  </si>
  <si>
    <t xml:space="preserve">E12</t>
  </si>
  <si>
    <t xml:space="preserve">Motor und Akku manuell erfassen</t>
  </si>
  <si>
    <t xml:space="preserve">Als E-Bike-Fahrer will ich mein System eintragen, auch ohne Anbindung.</t>
  </si>
  <si>
    <t xml:space="preserve">Motor- und Akkumodell aus dem Katalog; Kapazität in Wh; funktioniert herstellerunabhängig.</t>
  </si>
  <si>
    <t xml:space="preserve">F-EBK-001</t>
  </si>
  <si>
    <t xml:space="preserve">ST-095</t>
  </si>
  <si>
    <t xml:space="preserve">MotorSystemAdapter</t>
  </si>
  <si>
    <t xml:space="preserve">Als Architekt will ich die Herstelleranbindung hinter einer Schnittstelle kapseln.</t>
  </si>
  <si>
    <t xml:space="preserve">Schnittstelle ohne Schreiboperation; capabilities() steuert die UI; nicht gelieferte Felder werden ausgeblendet, nie mit Schätzwerten gefüllt.</t>
  </si>
  <si>
    <t xml:space="preserve">8.3 / F-EBK-000</t>
  </si>
  <si>
    <t xml:space="preserve">ST-096</t>
  </si>
  <si>
    <t xml:space="preserve">Bosch Live Data Interface anbinden</t>
  </si>
  <si>
    <t xml:space="preserve">Als Bosch-Fahrer will ich meine Livedaten in der App sehen.</t>
  </si>
  <si>
    <t xml:space="preserve">Nur lesend; Verbindungsstatus und Systemgeneration sichtbar; nicht unterstützte Generationen fallen sichtbar auf die manuelle Stufe zurück.</t>
  </si>
  <si>
    <t xml:space="preserve">F-EBK-002</t>
  </si>
  <si>
    <t xml:space="preserve">G-1</t>
  </si>
  <si>
    <t xml:space="preserve">ST-097</t>
  </si>
  <si>
    <t xml:space="preserve">Standard-Bluetooth-Sensorik</t>
  </si>
  <si>
    <t xml:space="preserve">Als Fahrer will ich Herzfrequenz, Trittfrequenz und Leistung koppeln.</t>
  </si>
  <si>
    <t xml:space="preserve">BLE-Profile für Geschwindigkeit/Trittfrequenz, Leistung und Herzfrequenz; herstellerunabhängig; Kopplung überlebt Neustart.</t>
  </si>
  <si>
    <t xml:space="preserve">F-EBK-003</t>
  </si>
  <si>
    <t xml:space="preserve">ST-098</t>
  </si>
  <si>
    <t xml:space="preserve">Reichweitenprognose Basismodell</t>
  </si>
  <si>
    <t xml:space="preserve">Als E-Bike-Fahrer will ich wissen, ob mein Akku für die Route reicht.</t>
  </si>
  <si>
    <t xml:space="preserve">Physikmodell mit Masse, Rollwiderstand aus Reifen und Druck, Steigungsprofil und gesetzlicher Abregelgeschwindigkeit; Ausgabe als Spanne mit Konfidenzband, nie als einzelne Zahl.</t>
  </si>
  <si>
    <t xml:space="preserve">F-EBK-004</t>
  </si>
  <si>
    <t xml:space="preserve">ST-099</t>
  </si>
  <si>
    <t xml:space="preserve">Reichweitenmodell selbst kalibrieren</t>
  </si>
  <si>
    <t xml:space="preserve">Als Vielfahrer will ich, dass die Prognose mit jeder Fahrt genauer wird.</t>
  </si>
  <si>
    <t xml:space="preserve">Nachkalibrierung von Rollwiderstand, Luftwiderstand und Fahrerleistung über abgeschlossene Rides; Prognosefehler sinkt messbar.</t>
  </si>
  <si>
    <t xml:space="preserve">ST-100</t>
  </si>
  <si>
    <t xml:space="preserve">Assist-Modus protokollieren</t>
  </si>
  <si>
    <t xml:space="preserve">Als E-Bike-Fahrer will ich sehen, in welchem Modus ich unterwegs war.</t>
  </si>
  <si>
    <t xml:space="preserve">Nur lesend; ohne Datenquelle Schätzung aus Leistungssignatur, zwingend als Schätzung gekennzeichnet, oder manuelle Angabe. Keine Steuerung.</t>
  </si>
  <si>
    <t xml:space="preserve">F-EBK-005</t>
  </si>
  <si>
    <t xml:space="preserve">G-3</t>
  </si>
  <si>
    <t xml:space="preserve">ST-101</t>
  </si>
  <si>
    <t xml:space="preserve">E13</t>
  </si>
  <si>
    <t xml:space="preserve">Discover-Suche und gespeicherte Routen</t>
  </si>
  <si>
    <t xml:space="preserve">Als Nutzer will ich Routen finden und wiederfinden.</t>
  </si>
  <si>
    <t xml:space="preserve">Filter nach Dauer, Höhenmetern, Schwierigkeit, Oberfläche, Rundkurs und Startpunkt; gespeicherte Routen offline verfügbar.</t>
  </si>
  <si>
    <t xml:space="preserve">4.7.5</t>
  </si>
  <si>
    <t xml:space="preserve">ST-102</t>
  </si>
  <si>
    <t xml:space="preserve">KI-Routenvorschläge</t>
  </si>
  <si>
    <t xml:space="preserve">Als Nutzer will ich Vorschläge, die zu meinem Bike und meinem Fahrstil passen.</t>
  </si>
  <si>
    <t xml:space="preserve">3–5 Vorschläge; jeder nennt die drei stärksten Begründungsfaktoren; Bike-Wechsel ändert die Liste sofort sichtbar.</t>
  </si>
  <si>
    <t xml:space="preserve">F-NAV-004</t>
  </si>
  <si>
    <t xml:space="preserve">E15</t>
  </si>
  <si>
    <t xml:space="preserve">ST-103</t>
  </si>
  <si>
    <t xml:space="preserve">Reichweitenabgleich im Routenvorschlag</t>
  </si>
  <si>
    <t xml:space="preserve">Als E-Bike-Fahrer will ich nur Vorschläge sehen, die ich auch schaffe.</t>
  </si>
  <si>
    <t xml:space="preserve">Prognosespanne gegen Routenanforderung; Warnung bei Unterdeckung.</t>
  </si>
  <si>
    <t xml:space="preserve">ST-104</t>
  </si>
  <si>
    <t xml:space="preserve">E14</t>
  </si>
  <si>
    <t xml:space="preserve">Produktkatalog mit Kompatibilitätsurteil</t>
  </si>
  <si>
    <t xml:space="preserve">Als Nutzer will ich nur Teile sehen, die zu meinem Bike passen.</t>
  </si>
  <si>
    <t xml:space="preserve">Jedes Produkt mit Urteil; unpassende ausgeblendet oder eindeutig markiert; „Daten unzureichend“ wird nie als passend beworben.</t>
  </si>
  <si>
    <t xml:space="preserve">F-SHP-001</t>
  </si>
  <si>
    <t xml:space="preserve">ST-105</t>
  </si>
  <si>
    <t xml:space="preserve">Affiliate-Weiterleitung</t>
  </si>
  <si>
    <t xml:space="preserve">Als Nutzer will ich das Teil beim Partnerhändler kaufen.</t>
  </si>
  <si>
    <t xml:space="preserve">Weiterleitung mit Partnerkennung; kein Zahlungsverkehr in der App; Provisionserfassung.</t>
  </si>
  <si>
    <t xml:space="preserve">F-SHP-003</t>
  </si>
  <si>
    <t xml:space="preserve">ST-106</t>
  </si>
  <si>
    <t xml:space="preserve">Anlassbezogene Produktempfehlungen</t>
  </si>
  <si>
    <t xml:space="preserve">Als Nutzer will ich Vorschläge nur dann, wenn es einen echten Grund gibt.</t>
  </si>
  <si>
    <t xml:space="preserve">Auslöser Verschleißgrenze, wiederkehrendes Setup-Problem oder Saisonwechsel; jede Empfehlung nennt den auslösenden Datenpunkt; keine anlasslosen Empfehlungen.</t>
  </si>
  <si>
    <t xml:space="preserve">F-SHP-002</t>
  </si>
  <si>
    <t xml:space="preserve">ST-107</t>
  </si>
  <si>
    <t xml:space="preserve">Marktplatz mit Checkout</t>
  </si>
  <si>
    <t xml:space="preserve">Als Nutzer will ich direkt in der App kaufen.</t>
  </si>
  <si>
    <t xml:space="preserve">Stripe-Checkout; physische Waren nicht über In-App-Kauf; Widerrufsbelehrung, Impressum, Versandkosten und Lieferzeit vor Kaufabschluss; GPSR-Herstellerangaben je Produkt.</t>
  </si>
  <si>
    <t xml:space="preserve">P3</t>
  </si>
  <si>
    <t xml:space="preserve">Phase 3</t>
  </si>
  <si>
    <t xml:space="preserve">F-SHP-003 / 8.5</t>
  </si>
  <si>
    <t xml:space="preserve">ST-108</t>
  </si>
  <si>
    <t xml:space="preserve">RecommendationSet als Vertrag</t>
  </si>
  <si>
    <t xml:space="preserve">Als Architekt will ich, dass alle Zahlen aus deterministischen Engines stammen.</t>
  </si>
  <si>
    <t xml:space="preserve">Strukturiertes Objekt mit Werten, Einheiten, Konfidenz und Quellen; Sprachmodell erzeugt niemals Werte.</t>
  </si>
  <si>
    <t xml:space="preserve">F-AI-001</t>
  </si>
  <si>
    <t xml:space="preserve">ST-109</t>
  </si>
  <si>
    <t xml:space="preserve">Numeric-Guard</t>
  </si>
  <si>
    <t xml:space="preserve">Als Produktverantwortlicher will ich verhindern, dass erfundene Zahlen beim Nutzer ankommen.</t>
  </si>
  <si>
    <t xml:space="preserve">Alle Zahlen mit Einheit werden extrahiert und gegen die Whitelist geprüft; nicht belegte Zahlen führen zum Verwerfen und zum deterministischen Ersatztext; Verwerfungsrate als überwachte Kennzahl unter 2 %.</t>
  </si>
  <si>
    <t xml:space="preserve">7.6 / F-AI-001</t>
  </si>
  <si>
    <t xml:space="preserve">ST-110</t>
  </si>
  <si>
    <t xml:space="preserve">Deterministische Ersatztexte</t>
  </si>
  <si>
    <t xml:space="preserve">Als Nutzer will ich nie eine leere Ansicht sehen, wenn die Formulierung ausfällt.</t>
  </si>
  <si>
    <t xml:space="preserve">Für jede Empfehlungsart existiert ein Ersatztext; Ausfall des Anbieters bleibt für den Nutzer folgenlos.</t>
  </si>
  <si>
    <t xml:space="preserve">7.6</t>
  </si>
  <si>
    <t xml:space="preserve">ST-111</t>
  </si>
  <si>
    <t xml:space="preserve">Datensparsamkeit gegenüber dem Anbieter</t>
  </si>
  <si>
    <t xml:space="preserve">Als Datenschutzbeauftragter will ich, dass keine Rohkoordinaten oder Klarnamen den Anbieter erreichen.</t>
  </si>
  <si>
    <t xml:space="preserve">Nur strukturierte Werte und aggregierter Kontext; automatisierter Test auf verbotene Felder in der Anfrage.</t>
  </si>
  <si>
    <t xml:space="preserve">ST-112</t>
  </si>
  <si>
    <t xml:space="preserve">Rider-Profil mit erklärten Merkmalen</t>
  </si>
  <si>
    <t xml:space="preserve">Als Nutzer will ich verstehen und korrigieren können, wofür die App mich hält.</t>
  </si>
  <si>
    <t xml:space="preserve">Jedes Merkmal als lesbare Aussage mit Datenbeleg und Korrekturmöglichkeit; Korrekturen im Änderungsprotokoll sichtbar.</t>
  </si>
  <si>
    <t xml:space="preserve">F-AI-002 / 4.7.7</t>
  </si>
  <si>
    <t xml:space="preserve">ST-113</t>
  </si>
  <si>
    <t xml:space="preserve">KI-Chat mit Werkzeugzugriff</t>
  </si>
  <si>
    <t xml:space="preserve">Als Nutzer will ich Fragen zu meinem Bike stellen.</t>
  </si>
  <si>
    <t xml:space="preserve">Antworten zu Kompatibilität und Setup ausschließlich aus Engine-Werkzeugen; bei fehlendem Werkzeugergebnis wird die Datenlücke benannt; keine Bedienung während der Fahrt.</t>
  </si>
  <si>
    <t xml:space="preserve">F-AI-004</t>
  </si>
  <si>
    <t xml:space="preserve">ST-114</t>
  </si>
  <si>
    <t xml:space="preserve">Datenmodell für Komponenten und Merkmale</t>
  </si>
  <si>
    <t xml:space="preserve">Als Datenkurator will ich typisierte Merkmale mit Herkunftsangabe erfassen.</t>
  </si>
  <si>
    <t xml:space="preserve">Quelle, Quell-URL, Prüfdatum und Prüfer sind Pflichtfelder; „unbekannt“ und „nicht zutreffend“ sind unterscheidbar.</t>
  </si>
  <si>
    <t xml:space="preserve">DM-03 / DM-04</t>
  </si>
  <si>
    <t xml:space="preserve">ST-115</t>
  </si>
  <si>
    <t xml:space="preserve">Redaktionswerkzeug</t>
  </si>
  <si>
    <t xml:space="preserve">Als Datenkurator will ich effizient erfassen und prüfen können.</t>
  </si>
  <si>
    <t xml:space="preserve">Massenimport, Dublettenprüfung, Vier-Augen-Freigabe, Abdeckungsauswertung je Kategorie.</t>
  </si>
  <si>
    <t xml:space="preserve">9.3</t>
  </si>
  <si>
    <t xml:space="preserve">ST-116</t>
  </si>
  <si>
    <t xml:space="preserve">Katalogaufbau 10 Kernkategorien</t>
  </si>
  <si>
    <t xml:space="preserve">Als Produktverantwortlicher will ich zum Launch ausreichend Abdeckung.</t>
  </si>
  <si>
    <t xml:space="preserve">Mindestens 3.000 Komponentenmodelle mit vollständigen Schnittstellenmerkmalen in den zehn kaufhäufigsten Kategorien; Abdeckungsquote als Wochenkennzahl.</t>
  </si>
  <si>
    <t xml:space="preserve">G-4 / R-04</t>
  </si>
  <si>
    <t xml:space="preserve">Data</t>
  </si>
  <si>
    <t xml:space="preserve">ST-117</t>
  </si>
  <si>
    <t xml:space="preserve">Regelwerk aufbauen</t>
  </si>
  <si>
    <t xml:space="preserve">Als Datenkurator will ich rund 150 geprüfte Kompatibilitätsregeln bereitstellen.</t>
  </si>
  <si>
    <t xml:space="preserve">Je Regel drei Testfälle; sicherheitskritische Regeln zweitgeprüft; Regelsatz versioniert.</t>
  </si>
  <si>
    <t xml:space="preserve">ST-118</t>
  </si>
  <si>
    <t xml:space="preserve">OEM-Ausstattungslisten importieren</t>
  </si>
  <si>
    <t xml:space="preserve">Als Nutzer will ich mein Bike mit einem Klick vorbefüllt bekommen.</t>
  </si>
  <si>
    <t xml:space="preserve">Import maschinenlesbarer Ausstattungslisten; Rückfallebene: manuelle Erfassung der 200 meistverkauften Modelle.</t>
  </si>
  <si>
    <t xml:space="preserve">A-09 / R-16</t>
  </si>
  <si>
    <t xml:space="preserve">ST-119</t>
  </si>
  <si>
    <t xml:space="preserve">Nutzerbeiträge mit Prüfung</t>
  </si>
  <si>
    <t xml:space="preserve">Als Nutzer will ich fehlende Daten beisteuern.</t>
  </si>
  <si>
    <t xml:space="preserve">Beiträge landen in einer Prüfschleife; erst nach Freigabe im Katalog; Beitragsquelle wird mitgeführt.</t>
  </si>
  <si>
    <t xml:space="preserve">R-04</t>
  </si>
  <si>
    <t xml:space="preserve">ST-120</t>
  </si>
  <si>
    <t xml:space="preserve">E17</t>
  </si>
  <si>
    <t xml:space="preserve">Design-Token umsetzen</t>
  </si>
  <si>
    <t xml:space="preserve">Als Entwickler will ich alle Farben, Schriften und Abstände als Token, damit nichts hartkodiert wird.</t>
  </si>
  <si>
    <t xml:space="preserve">Token für beide Themes; Lint verbietet Hex-Werte im Widget-Code.</t>
  </si>
  <si>
    <t xml:space="preserve">4.1–4.3</t>
  </si>
  <si>
    <t xml:space="preserve">ST-121</t>
  </si>
  <si>
    <t xml:space="preserve">Kontrastprüfung in CI</t>
  </si>
  <si>
    <t xml:space="preserve">Als Designer will ich, dass Kontrastverstöße den Build brechen.</t>
  </si>
  <si>
    <t xml:space="preserve">Automatisierte Prüfung beider Themes; AA als Minimum, im Ride-Screen AAA-Ziel über 15 pt.</t>
  </si>
  <si>
    <t xml:space="preserve">4.1 / NFR-12</t>
  </si>
  <si>
    <t xml:space="preserve">ST-122</t>
  </si>
  <si>
    <t xml:space="preserve">Handschuh-Modus</t>
  </si>
  <si>
    <t xml:space="preserve">Als Fahrer mit Handschuhen will ich die App sicher bedienen.</t>
  </si>
  <si>
    <t xml:space="preserve">Touch-Ziele 64 dp, Abstände 16 dp, Wischgesten durch Buttons ersetzt; Long-Press nie als einzige Aktion.</t>
  </si>
  <si>
    <t xml:space="preserve">4.4</t>
  </si>
  <si>
    <t xml:space="preserve">ST-123</t>
  </si>
  <si>
    <t xml:space="preserve">Sunlight-Modus</t>
  </si>
  <si>
    <t xml:space="preserve">Als Fahrer in praller Sonne will ich die App lesen können.</t>
  </si>
  <si>
    <t xml:space="preserve">Helles Hochkontrast-Thema im Ride-Screen; automatische Aktivierung über Helligkeit, manueller Schalter; 400-ms-Überblendung; angepasster Akzentton.</t>
  </si>
  <si>
    <t xml:space="preserve">4.4 / 0.4.3</t>
  </si>
  <si>
    <t xml:space="preserve">ST-124</t>
  </si>
  <si>
    <t xml:space="preserve">Einhandbedienung sicherstellen</t>
  </si>
  <si>
    <t xml:space="preserve">Als Fahrer will ich alles mit einer Hand erreichen.</t>
  </si>
  <si>
    <t xml:space="preserve">Alle Ride-Bedienelemente im unteren Drittel; Daumenreichweite für beide Hände geprüft.</t>
  </si>
  <si>
    <t xml:space="preserve">ST-125</t>
  </si>
  <si>
    <t xml:space="preserve">Schriftskalierung bis 200 %</t>
  </si>
  <si>
    <t xml:space="preserve">Als Nutzer mit eingeschränkter Sicht will ich große Schrift nutzen.</t>
  </si>
  <si>
    <t xml:space="preserve">Kein Layoutbruch bis 200 %; Snapshot-Tests je Kern-Screen.</t>
  </si>
  <si>
    <t xml:space="preserve">NFR-13</t>
  </si>
  <si>
    <t xml:space="preserve">ST-126</t>
  </si>
  <si>
    <t xml:space="preserve">Screenreader-Bedienbarkeit</t>
  </si>
  <si>
    <t xml:space="preserve">Als Nutzer mit Screenreader will ich die Kern-Flows bedienen können.</t>
  </si>
  <si>
    <t xml:space="preserve">Alle Kern-Flows bedienbar; Urteile nie nur über Farbe, immer mit Textlabel.</t>
  </si>
  <si>
    <t xml:space="preserve">NFR-12</t>
  </si>
  <si>
    <t xml:space="preserve">ST-127</t>
  </si>
  <si>
    <t xml:space="preserve">E18</t>
  </si>
  <si>
    <t xml:space="preserve">Onboarding unter 4 Minuten</t>
  </si>
  <si>
    <t xml:space="preserve">Als neuer Nutzer will ich schnell fahrbereit sein.</t>
  </si>
  <si>
    <t xml:space="preserve">Unmoderierter Test mit mind. 8 Personen; Median unter 4 min; Berechtigungs-Primer vor jedem Systemdialog.</t>
  </si>
  <si>
    <t xml:space="preserve">Flow A</t>
  </si>
  <si>
    <t xml:space="preserve">ST-128</t>
  </si>
  <si>
    <t xml:space="preserve">Batteriemessung als Dauertest</t>
  </si>
  <si>
    <t xml:space="preserve">Als Betreiber will ich die Batterieziele belegen.</t>
  </si>
  <si>
    <t xml:space="preserve">Laborzyklus dreifach; höchstens 9 %/h bei Display aus und 22 %/h bei Display an; Messung ab Sprint 1 in CI, nicht am Ende.</t>
  </si>
  <si>
    <t xml:space="preserve">NFR-03 / NFR-04 / R-05</t>
  </si>
  <si>
    <t xml:space="preserve">ST-129</t>
  </si>
  <si>
    <t xml:space="preserve">Offline-Regression im Flugmodus</t>
  </si>
  <si>
    <t xml:space="preserve">Als Nutzer will ich, dass alles außer Shop und KI ohne Netz funktioniert.</t>
  </si>
  <si>
    <t xml:space="preserve">Vollständige Regressionssuite im Flugmodus grün.</t>
  </si>
  <si>
    <t xml:space="preserve">NFR-15</t>
  </si>
  <si>
    <t xml:space="preserve">ST-130</t>
  </si>
  <si>
    <t xml:space="preserve">Chaos-Test Aufzeichnung</t>
  </si>
  <si>
    <t xml:space="preserve">Als Nutzer will ich keine Fahrt verlieren.</t>
  </si>
  <si>
    <t xml:space="preserve">Prozess-Kill während der Aufzeichnung; Datenverlust höchstens 60 s; Wiederaufnahme automatisch.</t>
  </si>
  <si>
    <t xml:space="preserve">ST-131</t>
  </si>
  <si>
    <t xml:space="preserve">Datenschutz-Folgenabschätzung</t>
  </si>
  <si>
    <t xml:space="preserve">Als Datenschutzbeauftragter will ich die Verarbeitung vor Launch bewerten.</t>
  </si>
  <si>
    <t xml:space="preserve">DSFA abgeschlossen; Verzeichnis der Verarbeitungstätigkeiten und Auftragsverarbeitungsverträge vollständig.</t>
  </si>
  <si>
    <t xml:space="preserve">7.7 / R-13</t>
  </si>
  <si>
    <t xml:space="preserve">Legal</t>
  </si>
  <si>
    <t xml:space="preserve">ST-132</t>
  </si>
  <si>
    <t xml:space="preserve">Rechtsprüfung Empfehlungshaftung</t>
  </si>
  <si>
    <t xml:space="preserve">Als Produktverantwortlicher will ich die Hinweistexte anwaltlich absichern.</t>
  </si>
  <si>
    <t xml:space="preserve">Haftungsbewertung liegt vor; Hinweistexte freigegeben; harte Grenzen der Engine geprüft.</t>
  </si>
  <si>
    <t xml:space="preserve">A-08 / R-07</t>
  </si>
  <si>
    <t xml:space="preserve">ST-133</t>
  </si>
  <si>
    <t xml:space="preserve">Lizenzprüfung Kartendaten</t>
  </si>
  <si>
    <t xml:space="preserve">Als Betreiber will ich Klarheit über die Share-alike-Pflichten.</t>
  </si>
  <si>
    <t xml:space="preserve">Bewertung, welche Bestände als abgeleitete Datenbank gelten; Namensnennungen auf jeder Kartenansicht sichtbar.</t>
  </si>
  <si>
    <t xml:space="preserve">A-06 / R-08</t>
  </si>
  <si>
    <t xml:space="preserve">ST-134</t>
  </si>
  <si>
    <t xml:space="preserve">Store-Richtlinien-Vorprüfung</t>
  </si>
  <si>
    <t xml:space="preserve">Als Produktverantwortlicher will ich eine Ablehnung vermeiden.</t>
  </si>
  <si>
    <t xml:space="preserve">Keine physischen Waren über In-App-Kauf; Berechtigungstexte mit konkretem Nutzen; Hintergrundstandort begründet.</t>
  </si>
  <si>
    <t xml:space="preserve">R-10</t>
  </si>
  <si>
    <t xml:space="preserve">ST-135</t>
  </si>
  <si>
    <t xml:space="preserve">Beta mit 150–300 Testfahrern</t>
  </si>
  <si>
    <t xml:space="preserve">Als Produktverantwortlicher will ich vor dem Launch echtes Feedback.</t>
  </si>
  <si>
    <t xml:space="preserve">Rekrutierung, Verteilung, Feedbackkanal, wöchentliche Auswertung; Abbruchgründe dokumentiert.</t>
  </si>
  <si>
    <t xml:space="preserve">PM</t>
  </si>
  <si>
    <t xml:space="preserve">Auswertung je Epic</t>
  </si>
  <si>
    <t xml:space="preserve">Alle Werte sind Formeln auf das Blatt Backlog. Nur die gelbe Zelle ist eine Eingabe.</t>
  </si>
  <si>
    <t xml:space="preserve">Velocity (SP je Sprint)</t>
  </si>
  <si>
    <t xml:space="preserve">Rückgerechnet aus Kapitel 9.3 (fünf Monate MVP-Bau = zehn Sprints). Konsistenzannahme, keine gemessene Velocity — im ersten Planning ersetzen.</t>
  </si>
  <si>
    <t xml:space="preserve">Bezeichnung</t>
  </si>
  <si>
    <t xml:space="preserve">Stories</t>
  </si>
  <si>
    <t xml:space="preserve">SP gesamt</t>
  </si>
  <si>
    <t xml:space="preserve">SP MVP v1.0</t>
  </si>
  <si>
    <t xml:space="preserve">SP v1.1–v1.3</t>
  </si>
  <si>
    <t xml:space="preserve">SP Phase 2+</t>
  </si>
  <si>
    <t xml:space="preserve">Fertig</t>
  </si>
  <si>
    <t xml:space="preserve">Fundament &amp; Plattform</t>
  </si>
  <si>
    <t xml:space="preserve">Konto, Datenschutz &amp; Sync</t>
  </si>
  <si>
    <t xml:space="preserve">Garage &amp; Komponenten</t>
  </si>
  <si>
    <t xml:space="preserve">Kompatibilitäts-Engine</t>
  </si>
  <si>
    <t xml:space="preserve">Setup &amp; Bracketing</t>
  </si>
  <si>
    <t xml:space="preserve">Wartung</t>
  </si>
  <si>
    <t xml:space="preserve">Sensorik &amp; Kalibrierung</t>
  </si>
  <si>
    <t xml:space="preserve">Fahrwerksanalyse (Gate G-2)</t>
  </si>
  <si>
    <t xml:space="preserve">Ride-Erfassung &amp; Ride-UI</t>
  </si>
  <si>
    <t xml:space="preserve">Navigation &amp; Offline</t>
  </si>
  <si>
    <t xml:space="preserve">Post-Ride &amp; Empfehlungen</t>
  </si>
  <si>
    <t xml:space="preserve">E-Bike-Integration</t>
  </si>
  <si>
    <t xml:space="preserve">Discover &amp; Routenvorschläge</t>
  </si>
  <si>
    <t xml:space="preserve">Shop</t>
  </si>
  <si>
    <t xml:space="preserve">KI-Schicht &amp; Numeric-Guard</t>
  </si>
  <si>
    <t xml:space="preserve">Katalog-Datenkuration</t>
  </si>
  <si>
    <t xml:space="preserve">Design-System &amp; Outdoor-UX</t>
  </si>
  <si>
    <t xml:space="preserve">Qualität, Release &amp; Compliance</t>
  </si>
  <si>
    <t xml:space="preserve">Summe</t>
  </si>
  <si>
    <t xml:space="preserve">Hochrechnung</t>
  </si>
  <si>
    <t xml:space="preserve">Stories gesamt</t>
  </si>
  <si>
    <t xml:space="preserve">Story Points gesamt</t>
  </si>
  <si>
    <t xml:space="preserve">Story Points MVP v1.0</t>
  </si>
  <si>
    <t xml:space="preserve">Sprints für den MVP (bei Velocity oben)</t>
  </si>
  <si>
    <t xml:space="preserve">entspricht Monaten (2-Wochen-Sprints)</t>
  </si>
  <si>
    <t xml:space="preserve">Plan laut Spezifikation Kap. 9.3</t>
  </si>
  <si>
    <t xml:space="preserve">Anteil MVP an allen Punkten</t>
  </si>
  <si>
    <t xml:space="preserve">Punkte, die an Gate G-2 hängen</t>
  </si>
  <si>
    <t xml:space="preserve">Punkte, die an Gate G-1 hängen</t>
  </si>
  <si>
    <t xml:space="preserve">Punkte im Epic E16 (Katalog, kritischer Pfad)</t>
  </si>
  <si>
    <t xml:space="preserve">Die Zeile „entspricht Monaten“ muss zur Planzeile darunter passen. Tut sie das nach dem ersten Planning nicht, ist entweder die Schätzung oder der Termin falsch — nicht beides ignorieren. Die Hochrechnung enthält keine Puffer für Feldstudie, Beta, Store-Prüfung und Rechtsberatung — diese laufen parallel und sind in Kapitel 9.3 der Spezifikation terminiert.</t>
  </si>
  <si>
    <t xml:space="preserve">Entscheidungspunkte</t>
  </si>
  <si>
    <t xml:space="preserve">Stories mit Gate-Eintrag im Backlog starten erst nach positivem Ergebnis.</t>
  </si>
  <si>
    <t xml:space="preserve">Gegenstand</t>
  </si>
  <si>
    <t xml:space="preserve">Bedingung</t>
  </si>
  <si>
    <t xml:space="preserve">Konsequenz bei Nichterfüllung</t>
  </si>
  <si>
    <t xml:space="preserve">Verantwortung</t>
  </si>
  <si>
    <t xml:space="preserve">Fällig</t>
  </si>
  <si>
    <t xml:space="preserve">Gebundene SP</t>
  </si>
  <si>
    <t xml:space="preserve">Team-Aufstellung</t>
  </si>
  <si>
    <t xml:space="preserve">Mobile-Technologie gegen reale Teamprofile bestätigt</t>
  </si>
  <si>
    <t xml:space="preserve">Architekturentscheidung aus Kapitel 5.1 neu bewerten</t>
  </si>
  <si>
    <t xml:space="preserve">vor Sprint 1</t>
  </si>
  <si>
    <t xml:space="preserve">Bosch Live Data Interface</t>
  </si>
  <si>
    <t xml:space="preserve">Zugang, Nutzungsbedingungen und Markenrichtlinien geklärt und erfüllbar</t>
  </si>
  <si>
    <t xml:space="preserve">E-Bike-Telemetrie entfällt, manuelle Stufe bleibt; Marketingaussagen anpassen</t>
  </si>
  <si>
    <t xml:space="preserve">Fahrwerksvalidierung</t>
  </si>
  <si>
    <t xml:space="preserve">Sieben Messkriterien im Feld erfüllt (Kap. 7.5)</t>
  </si>
  <si>
    <t xml:space="preserve">Fahrwerksfunktionen gehen nicht live; Produktversprechen und Preismodell überarbeiten</t>
  </si>
  <si>
    <t xml:space="preserve">ML-Lead</t>
  </si>
  <si>
    <t xml:space="preserve">Monat 7</t>
  </si>
  <si>
    <t xml:space="preserve">Shimano-Lizenz</t>
  </si>
  <si>
    <t xml:space="preserve">Vertrag unterzeichnet</t>
  </si>
  <si>
    <t xml:space="preserve">Direktanbindung ersatzlos gestrichen; Planung läuft ohnehin ohne</t>
  </si>
  <si>
    <t xml:space="preserve">Monat 6</t>
  </si>
  <si>
    <t xml:space="preserve">Katalogabdeckung</t>
  </si>
  <si>
    <t xml:space="preserve">Mind. 3.000 Komponentenmodelle in den zehn wichtigsten Kategorien</t>
  </si>
  <si>
    <t xml:space="preserve">Kompatibilitätsprüfung startet eingeschränkt und offen kommuniziert</t>
  </si>
  <si>
    <t xml:space="preserve">Data-Lead</t>
  </si>
  <si>
    <t xml:space="preserve">Wegerecht</t>
  </si>
  <si>
    <t xml:space="preserve">Rechtslage je Zielmarkt geprüft</t>
  </si>
  <si>
    <t xml:space="preserve">Markteinführung nur in geprüften Ländern</t>
  </si>
  <si>
    <t xml:space="preserve">Monat 8</t>
  </si>
  <si>
    <t xml:space="preserve">Risikoregister</t>
  </si>
  <si>
    <t xml:space="preserve">Aus Kapitel 10 der Spezifikation. Bewertung als Wahrscheinlichkeit / Auswirkung.</t>
  </si>
  <si>
    <t xml:space="preserve">Nr.</t>
  </si>
  <si>
    <t xml:space="preserve">Risiko</t>
  </si>
  <si>
    <t xml:space="preserve">W</t>
  </si>
  <si>
    <t xml:space="preserve">A</t>
  </si>
  <si>
    <t xml:space="preserve">Gegenmaßnahme</t>
  </si>
  <si>
    <t xml:space="preserve">Nutzer pflegen ihre Garage nicht — das Fundament bleibt leer</t>
  </si>
  <si>
    <t xml:space="preserve">mittel</t>
  </si>
  <si>
    <t xml:space="preserve">sehr hoch</t>
  </si>
  <si>
    <t xml:space="preserve">Vorbefüllung aus OEM-Ausstattungslisten als Standardweg; jeder ausgefüllte Slot schaltet sofort Nutzen frei; Fortschrittsanzeige mit konkretem nächstem Schritt</t>
  </si>
  <si>
    <t xml:space="preserve">Design + PM</t>
  </si>
  <si>
    <t xml:space="preserve">Katalogdaten unvollständig — zu viele „Daten unzureichend“-Urteile</t>
  </si>
  <si>
    <t xml:space="preserve">hoch</t>
  </si>
  <si>
    <t xml:space="preserve">Eigene Rolle ab Monat 1; Start mit den zehn kaufhäufigsten Kategorien; Nutzerbeiträge mit Prüfung; Abdeckungsquote als Wochenkennzahl</t>
  </si>
  <si>
    <t xml:space="preserve">R-07</t>
  </si>
  <si>
    <t xml:space="preserve">Haftung für Setup-Empfehlungen im Schadensfall</t>
  </si>
  <si>
    <t xml:space="preserve">niedrig</t>
  </si>
  <si>
    <t xml:space="preserve">Nie außerhalb der Herstellergrenzen; keine Empfehlungen zu sicherheitsrelevanten Eingriffen; jede Empfehlung protokolliert; anwaltlich geprüfte Hinweistexte; Produkthaftpflicht</t>
  </si>
  <si>
    <t xml:space="preserve">Legal + PM</t>
  </si>
  <si>
    <t xml:space="preserve">R-03</t>
  </si>
  <si>
    <t xml:space="preserve">Fahrwerksvalidierung G-2 scheitert</t>
  </si>
  <si>
    <t xml:space="preserve">Studie ab Monat 5 statt kurz vor Launch; Produkt trägt auch ohne; Preismodell mit Rückfallvariante</t>
  </si>
  <si>
    <t xml:space="preserve">R-11</t>
  </si>
  <si>
    <t xml:space="preserve">Umfang wächst unkontrolliert</t>
  </si>
  <si>
    <t xml:space="preserve">Nordstern-Metrik als Entscheidungsgrundlage; Prioritätsstufe je Feature-ID; kein Feature ohne zugeordnete Kennzahl</t>
  </si>
  <si>
    <t xml:space="preserve">R-13</t>
  </si>
  <si>
    <t xml:space="preserve">Datenschutzverstoß bei Standort- und Gesundheitsdaten</t>
  </si>
  <si>
    <t xml:space="preserve">DSFA vor Launch; granulare Einwilligungen; Privatsphärenzonen als Voreinstellung; Datensparsamkeit gegenüber dem Sprachmodell-Anbieter</t>
  </si>
  <si>
    <t xml:space="preserve">DSB</t>
  </si>
  <si>
    <t xml:space="preserve">R-14</t>
  </si>
  <si>
    <t xml:space="preserve">GNSS-Ungenauigkeit im Wald verfälscht das Segment-Matching</t>
  </si>
  <si>
    <t xml:space="preserve">Abgleich über Geometrie, Barometerprofil und Sensorsignatur; match_quality je Segment; bei geringer Übereinstimmung keine Auswertung</t>
  </si>
  <si>
    <t xml:space="preserve">R-05</t>
  </si>
  <si>
    <t xml:space="preserve">Akkuverbrauch inakzeptabel</t>
  </si>
  <si>
    <t xml:space="preserve">NFR ab Sprint 1 in CI messen; adaptive Abtastrate als Rückfallebene; Energiesparmodus im Ride-Screen</t>
  </si>
  <si>
    <t xml:space="preserve">Mobile-Lead</t>
  </si>
  <si>
    <t xml:space="preserve">R-01</t>
  </si>
  <si>
    <t xml:space="preserve">Bosch-Zugang an nicht erfüllbare Bedingungen geknüpft</t>
  </si>
  <si>
    <t xml:space="preserve">Gate G-1 vor Sprint 1; manuelle Stufe und Standard-Bluetooth tragen den Nutzen; Marketing erst nach Klärung</t>
  </si>
  <si>
    <t xml:space="preserve">R-02</t>
  </si>
  <si>
    <t xml:space="preserve">Shimano-Lizenz kommt nicht zustande</t>
  </si>
  <si>
    <t xml:space="preserve">Von Beginn an nicht eingeplant; Kommunikation ab Tag 1 ehrlich</t>
  </si>
  <si>
    <t xml:space="preserve">R-12</t>
  </si>
  <si>
    <t xml:space="preserve">Sprachmodell erzeugt plausible, aber falsche Werte</t>
  </si>
  <si>
    <t xml:space="preserve">Numeric-Guard als harte Sperre; deterministischer Ersatztext; Verwerfungsrate als überwachte Kennzahl</t>
  </si>
  <si>
    <t xml:space="preserve">R-15</t>
  </si>
  <si>
    <t xml:space="preserve">Wissenskonzentration im nativen Sensor- und Bluetooth-Modul</t>
  </si>
  <si>
    <t xml:space="preserve">Signalverarbeitung in Rust mit Desktop-Testbarkeit; Pair-Programming Pflicht; Architekturdokumentation als Definition of Done</t>
  </si>
  <si>
    <t xml:space="preserve">R-08</t>
  </si>
  <si>
    <t xml:space="preserve">Share-alike-Pflichten der Kartendaten</t>
  </si>
  <si>
    <t xml:space="preserve">Frühe Rechtsprüfung; saubere Trennung abgeleiteter und eigener Datenbestände</t>
  </si>
  <si>
    <t xml:space="preserve">Legal + Backend-Lead</t>
  </si>
  <si>
    <t xml:space="preserve">R-09</t>
  </si>
  <si>
    <t xml:space="preserve">Flow-Score erzeugt Wettbewerbsanreize auf öffentlichen Wegen</t>
  </si>
  <si>
    <t xml:space="preserve">Kein nutzerübergreifender Vergleich; keine öffentlichen Bestenlisten; Kommunikation auf Setup statt Tempo</t>
  </si>
  <si>
    <t xml:space="preserve">App-Store-Ablehnung</t>
  </si>
  <si>
    <t xml:space="preserve">Richtlinien-Vorprüfung als Launch-Kriterium; keine physischen Waren über In-App-Kauf</t>
  </si>
  <si>
    <t xml:space="preserve">R-06</t>
  </si>
  <si>
    <t xml:space="preserve">Heatmaps ohne Nutzerbasis wertlos</t>
  </si>
  <si>
    <t xml:space="preserve">Erst Phase 2; kein Zukauf mit ungeklärter Lizenz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</si>
</sst>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23528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1"/>
      <color rgb="FF1F5F4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9C2A0E"/>
      <name val="Arial"/>
      <family val="0"/>
      <charset val="1"/>
    </font>
    <font>
      <b val="true"/>
      <sz val="10"/>
      <color rgb="FFB35309"/>
      <name val="Arial"/>
      <family val="0"/>
      <charset val="1"/>
    </font>
    <font>
      <b val="true"/>
      <sz val="14"/>
      <color rgb="FF123528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2"/>
      <color rgb="FF123528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23528"/>
        <bgColor rgb="FF333300"/>
      </patternFill>
    </fill>
    <fill>
      <patternFill patternType="solid">
        <fgColor rgb="FFF7F9F8"/>
        <bgColor rgb="FFFFFFFF"/>
      </patternFill>
    </fill>
    <fill>
      <patternFill patternType="solid">
        <fgColor rgb="FFFFF2CC"/>
        <bgColor rgb="FFEEF3F0"/>
      </patternFill>
    </fill>
    <fill>
      <patternFill patternType="solid">
        <fgColor rgb="FFEEF3F0"/>
        <bgColor rgb="FFF7F9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6D0"/>
      </left>
      <right style="thin">
        <color rgb="FFC9D6D0"/>
      </right>
      <top style="thin">
        <color rgb="FFC9D6D0"/>
      </top>
      <bottom style="thin">
        <color rgb="FFC9D6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23528"/>
          <bgColor rgb="FF000000"/>
        </patternFill>
      </fill>
    </dxf>
    <dxf>
      <fill>
        <patternFill patternType="solid">
          <fgColor rgb="FFF7F9F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9C2A0E"/>
          <bgColor rgb="FF000000"/>
        </patternFill>
      </fill>
    </dxf>
    <dxf>
      <fill>
        <patternFill patternType="solid">
          <fgColor rgb="FFB3530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B35309"/>
      <rgbColor rgb="FFFFF2CC"/>
      <rgbColor rgb="FFEEF3F0"/>
      <rgbColor rgb="FF660066"/>
      <rgbColor rgb="FFFF8080"/>
      <rgbColor rgb="FF0066CC"/>
      <rgbColor rgb="FFC9D6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9F8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123528"/>
      <rgbColor rgb="FF333300"/>
      <rgbColor rgb="FF9C2A0E"/>
      <rgbColor rgb="FF993366"/>
      <rgbColor rgb="FF333399"/>
      <rgbColor rgb="FF1F5F4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5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s">
        <v>4</v>
      </c>
    </row>
    <row r="6" customFormat="false" ht="15" hidden="false" customHeight="false" outlineLevel="0" collapsed="false">
      <c r="A6" s="4" t="s">
        <v>5</v>
      </c>
      <c r="B6" s="5" t="s">
        <v>6</v>
      </c>
    </row>
    <row r="7" customFormat="false" ht="15" hidden="false" customHeight="false" outlineLevel="0" collapsed="false">
      <c r="A7" s="4" t="s">
        <v>7</v>
      </c>
      <c r="B7" s="5" t="s">
        <v>8</v>
      </c>
    </row>
    <row r="8" customFormat="false" ht="15" hidden="false" customHeight="false" outlineLevel="0" collapsed="false">
      <c r="A8" s="4" t="s">
        <v>9</v>
      </c>
      <c r="B8" s="5" t="s">
        <v>10</v>
      </c>
    </row>
    <row r="10" customFormat="false" ht="15" hidden="false" customHeight="false" outlineLevel="0" collapsed="false">
      <c r="A10" s="3" t="s">
        <v>11</v>
      </c>
    </row>
    <row r="11" customFormat="false" ht="15" hidden="false" customHeight="false" outlineLevel="0" collapsed="false">
      <c r="A11" s="4" t="s">
        <v>12</v>
      </c>
      <c r="B11" s="5" t="s">
        <v>13</v>
      </c>
    </row>
    <row r="12" customFormat="false" ht="15" hidden="false" customHeight="false" outlineLevel="0" collapsed="false">
      <c r="A12" s="4" t="s">
        <v>14</v>
      </c>
      <c r="B12" s="5" t="s">
        <v>15</v>
      </c>
    </row>
    <row r="13" customFormat="false" ht="23.85" hidden="false" customHeight="false" outlineLevel="0" collapsed="false">
      <c r="A13" s="4" t="s">
        <v>16</v>
      </c>
      <c r="B13" s="5" t="s">
        <v>17</v>
      </c>
    </row>
    <row r="15" customFormat="false" ht="15" hidden="false" customHeight="false" outlineLevel="0" collapsed="false">
      <c r="A15" s="3" t="s">
        <v>18</v>
      </c>
    </row>
    <row r="16" customFormat="false" ht="15" hidden="false" customHeight="false" outlineLevel="0" collapsed="false">
      <c r="A16" s="4" t="s">
        <v>19</v>
      </c>
      <c r="B16" s="5" t="s">
        <v>20</v>
      </c>
    </row>
    <row r="17" customFormat="false" ht="15" hidden="false" customHeight="false" outlineLevel="0" collapsed="false">
      <c r="A17" s="4" t="s">
        <v>21</v>
      </c>
      <c r="B17" s="5" t="s">
        <v>22</v>
      </c>
    </row>
    <row r="18" customFormat="false" ht="15" hidden="false" customHeight="false" outlineLevel="0" collapsed="false">
      <c r="A18" s="4" t="s">
        <v>23</v>
      </c>
      <c r="B18" s="5" t="s">
        <v>24</v>
      </c>
    </row>
    <row r="20" customFormat="false" ht="15" hidden="false" customHeight="false" outlineLevel="0" collapsed="false">
      <c r="A20" s="3" t="s">
        <v>25</v>
      </c>
    </row>
    <row r="21" customFormat="false" ht="15" hidden="false" customHeight="false" outlineLevel="0" collapsed="false">
      <c r="A21" s="4" t="s">
        <v>26</v>
      </c>
      <c r="B21" s="5" t="s">
        <v>27</v>
      </c>
    </row>
    <row r="23" customFormat="false" ht="15" hidden="false" customHeight="false" outlineLevel="0" collapsed="false">
      <c r="A23" s="3" t="s">
        <v>28</v>
      </c>
    </row>
    <row r="24" customFormat="false" ht="23.85" hidden="false" customHeight="false" outlineLevel="0" collapsed="false">
      <c r="A24" s="4" t="s">
        <v>29</v>
      </c>
      <c r="B24" s="5" t="s">
        <v>30</v>
      </c>
    </row>
    <row r="25" customFormat="false" ht="15" hidden="false" customHeight="false" outlineLevel="0" collapsed="false">
      <c r="A25" s="4" t="s">
        <v>31</v>
      </c>
      <c r="B25" s="5" t="s">
        <v>32</v>
      </c>
    </row>
    <row r="26" customFormat="false" ht="23.85" hidden="false" customHeight="false" outlineLevel="0" collapsed="false">
      <c r="A26" s="4" t="s">
        <v>33</v>
      </c>
      <c r="B26" s="5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"/>
    <col collapsed="false" customWidth="true" hidden="false" outlineLevel="0" max="3" min="3" style="0" width="34"/>
    <col collapsed="false" customWidth="true" hidden="false" outlineLevel="0" max="4" min="4" style="0" width="62"/>
    <col collapsed="false" customWidth="true" hidden="false" outlineLevel="0" max="5" min="5" style="0" width="68"/>
    <col collapsed="false" customWidth="true" hidden="false" outlineLevel="0" max="6" min="6" style="0" width="6"/>
    <col collapsed="false" customWidth="true" hidden="false" outlineLevel="0" max="7" min="7" style="0" width="12"/>
    <col collapsed="false" customWidth="true" hidden="false" outlineLevel="0" max="8" min="8" style="0" width="18"/>
    <col collapsed="false" customWidth="true" hidden="false" outlineLevel="0" max="9" min="9" style="0" width="12"/>
    <col collapsed="false" customWidth="true" hidden="false" outlineLevel="0" max="10" min="10" style="0" width="7"/>
    <col collapsed="false" customWidth="true" hidden="false" outlineLevel="0" max="11" min="11" style="0" width="6"/>
    <col collapsed="false" customWidth="true" hidden="false" outlineLevel="0" max="12" min="12" style="0" width="10"/>
    <col collapsed="false" customWidth="true" hidden="false" outlineLevel="0" max="13" min="13" style="0" width="13"/>
  </cols>
  <sheetData>
    <row r="1" customFormat="false" ht="27.75" hidden="false" customHeight="true" outlineLevel="0" collapsed="false">
      <c r="A1" s="6" t="s">
        <v>35</v>
      </c>
      <c r="B1" s="6" t="s">
        <v>36</v>
      </c>
      <c r="C1" s="6" t="s">
        <v>37</v>
      </c>
      <c r="D1" s="6" t="s">
        <v>38</v>
      </c>
      <c r="E1" s="6" t="s">
        <v>39</v>
      </c>
      <c r="F1" s="6" t="s">
        <v>40</v>
      </c>
      <c r="G1" s="6" t="s">
        <v>41</v>
      </c>
      <c r="H1" s="6" t="s">
        <v>42</v>
      </c>
      <c r="I1" s="6" t="s">
        <v>43</v>
      </c>
      <c r="J1" s="6" t="s">
        <v>44</v>
      </c>
      <c r="K1" s="6" t="s">
        <v>45</v>
      </c>
      <c r="L1" s="6" t="s">
        <v>46</v>
      </c>
      <c r="M1" s="6" t="s">
        <v>47</v>
      </c>
    </row>
    <row r="2" customFormat="false" ht="45.75" hidden="false" customHeight="true" outlineLevel="0" collapsed="false">
      <c r="A2" s="7" t="s">
        <v>48</v>
      </c>
      <c r="B2" s="7" t="s">
        <v>49</v>
      </c>
      <c r="C2" s="8" t="s">
        <v>50</v>
      </c>
      <c r="D2" s="8" t="s">
        <v>51</v>
      </c>
      <c r="E2" s="8" t="s">
        <v>52</v>
      </c>
      <c r="F2" s="9" t="s">
        <v>53</v>
      </c>
      <c r="G2" s="7" t="s">
        <v>54</v>
      </c>
      <c r="H2" s="10" t="s">
        <v>55</v>
      </c>
      <c r="I2" s="7"/>
      <c r="J2" s="11" t="s">
        <v>56</v>
      </c>
      <c r="K2" s="7" t="n">
        <v>3</v>
      </c>
      <c r="L2" s="10" t="s">
        <v>57</v>
      </c>
      <c r="M2" s="10" t="s">
        <v>58</v>
      </c>
    </row>
    <row r="3" customFormat="false" ht="45.75" hidden="false" customHeight="true" outlineLevel="0" collapsed="false">
      <c r="A3" s="12" t="s">
        <v>59</v>
      </c>
      <c r="B3" s="12" t="s">
        <v>49</v>
      </c>
      <c r="C3" s="13" t="s">
        <v>60</v>
      </c>
      <c r="D3" s="13" t="s">
        <v>61</v>
      </c>
      <c r="E3" s="13" t="s">
        <v>62</v>
      </c>
      <c r="F3" s="14" t="s">
        <v>53</v>
      </c>
      <c r="G3" s="12" t="s">
        <v>54</v>
      </c>
      <c r="H3" s="15" t="s">
        <v>63</v>
      </c>
      <c r="I3" s="12"/>
      <c r="J3" s="12"/>
      <c r="K3" s="12" t="n">
        <v>5</v>
      </c>
      <c r="L3" s="15" t="s">
        <v>64</v>
      </c>
      <c r="M3" s="15" t="s">
        <v>58</v>
      </c>
    </row>
    <row r="4" customFormat="false" ht="45.75" hidden="false" customHeight="true" outlineLevel="0" collapsed="false">
      <c r="A4" s="7" t="s">
        <v>65</v>
      </c>
      <c r="B4" s="7" t="s">
        <v>49</v>
      </c>
      <c r="C4" s="8" t="s">
        <v>66</v>
      </c>
      <c r="D4" s="8" t="s">
        <v>67</v>
      </c>
      <c r="E4" s="8" t="s">
        <v>68</v>
      </c>
      <c r="F4" s="9" t="s">
        <v>53</v>
      </c>
      <c r="G4" s="7" t="s">
        <v>54</v>
      </c>
      <c r="H4" s="10" t="s">
        <v>63</v>
      </c>
      <c r="I4" s="7"/>
      <c r="J4" s="7"/>
      <c r="K4" s="7" t="n">
        <v>5</v>
      </c>
      <c r="L4" s="10" t="s">
        <v>64</v>
      </c>
      <c r="M4" s="10" t="s">
        <v>58</v>
      </c>
    </row>
    <row r="5" customFormat="false" ht="45.75" hidden="false" customHeight="true" outlineLevel="0" collapsed="false">
      <c r="A5" s="12" t="s">
        <v>69</v>
      </c>
      <c r="B5" s="12" t="s">
        <v>49</v>
      </c>
      <c r="C5" s="13" t="s">
        <v>70</v>
      </c>
      <c r="D5" s="13" t="s">
        <v>71</v>
      </c>
      <c r="E5" s="13" t="s">
        <v>72</v>
      </c>
      <c r="F5" s="14" t="s">
        <v>53</v>
      </c>
      <c r="G5" s="12" t="s">
        <v>54</v>
      </c>
      <c r="H5" s="15" t="s">
        <v>55</v>
      </c>
      <c r="I5" s="12"/>
      <c r="J5" s="12"/>
      <c r="K5" s="12" t="n">
        <v>8</v>
      </c>
      <c r="L5" s="15" t="s">
        <v>73</v>
      </c>
      <c r="M5" s="15" t="s">
        <v>58</v>
      </c>
    </row>
    <row r="6" customFormat="false" ht="45.75" hidden="false" customHeight="true" outlineLevel="0" collapsed="false">
      <c r="A6" s="7" t="s">
        <v>74</v>
      </c>
      <c r="B6" s="7" t="s">
        <v>49</v>
      </c>
      <c r="C6" s="8" t="s">
        <v>75</v>
      </c>
      <c r="D6" s="8" t="s">
        <v>76</v>
      </c>
      <c r="E6" s="8" t="s">
        <v>77</v>
      </c>
      <c r="F6" s="9" t="s">
        <v>53</v>
      </c>
      <c r="G6" s="7" t="s">
        <v>54</v>
      </c>
      <c r="H6" s="10" t="s">
        <v>78</v>
      </c>
      <c r="I6" s="7"/>
      <c r="J6" s="7"/>
      <c r="K6" s="7" t="n">
        <v>8</v>
      </c>
      <c r="L6" s="10" t="s">
        <v>64</v>
      </c>
      <c r="M6" s="10" t="s">
        <v>58</v>
      </c>
    </row>
    <row r="7" customFormat="false" ht="45.75" hidden="false" customHeight="true" outlineLevel="0" collapsed="false">
      <c r="A7" s="12" t="s">
        <v>79</v>
      </c>
      <c r="B7" s="12" t="s">
        <v>49</v>
      </c>
      <c r="C7" s="13" t="s">
        <v>80</v>
      </c>
      <c r="D7" s="13" t="s">
        <v>81</v>
      </c>
      <c r="E7" s="13" t="s">
        <v>82</v>
      </c>
      <c r="F7" s="14" t="s">
        <v>53</v>
      </c>
      <c r="G7" s="12" t="s">
        <v>54</v>
      </c>
      <c r="H7" s="15" t="s">
        <v>83</v>
      </c>
      <c r="I7" s="12"/>
      <c r="J7" s="12"/>
      <c r="K7" s="12" t="n">
        <v>8</v>
      </c>
      <c r="L7" s="15" t="s">
        <v>84</v>
      </c>
      <c r="M7" s="15" t="s">
        <v>58</v>
      </c>
    </row>
    <row r="8" customFormat="false" ht="45.75" hidden="false" customHeight="true" outlineLevel="0" collapsed="false">
      <c r="A8" s="7" t="s">
        <v>85</v>
      </c>
      <c r="B8" s="7" t="s">
        <v>49</v>
      </c>
      <c r="C8" s="8" t="s">
        <v>86</v>
      </c>
      <c r="D8" s="8" t="s">
        <v>87</v>
      </c>
      <c r="E8" s="8" t="s">
        <v>88</v>
      </c>
      <c r="F8" s="9" t="s">
        <v>53</v>
      </c>
      <c r="G8" s="7" t="s">
        <v>54</v>
      </c>
      <c r="H8" s="10" t="s">
        <v>83</v>
      </c>
      <c r="I8" s="7"/>
      <c r="J8" s="7"/>
      <c r="K8" s="7" t="n">
        <v>3</v>
      </c>
      <c r="L8" s="10" t="s">
        <v>84</v>
      </c>
      <c r="M8" s="10" t="s">
        <v>58</v>
      </c>
    </row>
    <row r="9" customFormat="false" ht="45.75" hidden="false" customHeight="true" outlineLevel="0" collapsed="false">
      <c r="A9" s="12" t="s">
        <v>89</v>
      </c>
      <c r="B9" s="12" t="s">
        <v>49</v>
      </c>
      <c r="C9" s="13" t="s">
        <v>90</v>
      </c>
      <c r="D9" s="13" t="s">
        <v>91</v>
      </c>
      <c r="E9" s="13" t="s">
        <v>92</v>
      </c>
      <c r="F9" s="14" t="s">
        <v>53</v>
      </c>
      <c r="G9" s="12" t="s">
        <v>54</v>
      </c>
      <c r="H9" s="15" t="s">
        <v>93</v>
      </c>
      <c r="I9" s="12"/>
      <c r="J9" s="12"/>
      <c r="K9" s="12" t="n">
        <v>5</v>
      </c>
      <c r="L9" s="15" t="s">
        <v>94</v>
      </c>
      <c r="M9" s="15" t="s">
        <v>58</v>
      </c>
    </row>
    <row r="10" customFormat="false" ht="45.75" hidden="false" customHeight="true" outlineLevel="0" collapsed="false">
      <c r="A10" s="7" t="s">
        <v>95</v>
      </c>
      <c r="B10" s="7" t="s">
        <v>49</v>
      </c>
      <c r="C10" s="8" t="s">
        <v>96</v>
      </c>
      <c r="D10" s="8" t="s">
        <v>97</v>
      </c>
      <c r="E10" s="8" t="s">
        <v>98</v>
      </c>
      <c r="F10" s="9" t="s">
        <v>53</v>
      </c>
      <c r="G10" s="7" t="s">
        <v>54</v>
      </c>
      <c r="H10" s="10" t="s">
        <v>83</v>
      </c>
      <c r="I10" s="7"/>
      <c r="J10" s="7"/>
      <c r="K10" s="7" t="n">
        <v>5</v>
      </c>
      <c r="L10" s="10" t="s">
        <v>84</v>
      </c>
      <c r="M10" s="10" t="s">
        <v>58</v>
      </c>
    </row>
    <row r="11" customFormat="false" ht="45.75" hidden="false" customHeight="true" outlineLevel="0" collapsed="false">
      <c r="A11" s="12" t="s">
        <v>99</v>
      </c>
      <c r="B11" s="12" t="s">
        <v>100</v>
      </c>
      <c r="C11" s="13" t="s">
        <v>101</v>
      </c>
      <c r="D11" s="13" t="s">
        <v>102</v>
      </c>
      <c r="E11" s="13" t="s">
        <v>103</v>
      </c>
      <c r="F11" s="14" t="s">
        <v>53</v>
      </c>
      <c r="G11" s="12" t="s">
        <v>54</v>
      </c>
      <c r="H11" s="15" t="s">
        <v>104</v>
      </c>
      <c r="I11" s="12"/>
      <c r="J11" s="12"/>
      <c r="K11" s="12" t="n">
        <v>5</v>
      </c>
      <c r="L11" s="15" t="s">
        <v>64</v>
      </c>
      <c r="M11" s="15" t="s">
        <v>58</v>
      </c>
    </row>
    <row r="12" customFormat="false" ht="45.75" hidden="false" customHeight="true" outlineLevel="0" collapsed="false">
      <c r="A12" s="7" t="s">
        <v>105</v>
      </c>
      <c r="B12" s="7" t="s">
        <v>100</v>
      </c>
      <c r="C12" s="8" t="s">
        <v>106</v>
      </c>
      <c r="D12" s="8" t="s">
        <v>107</v>
      </c>
      <c r="E12" s="8" t="s">
        <v>108</v>
      </c>
      <c r="F12" s="9" t="s">
        <v>53</v>
      </c>
      <c r="G12" s="7" t="s">
        <v>54</v>
      </c>
      <c r="H12" s="10" t="s">
        <v>109</v>
      </c>
      <c r="I12" s="7" t="s">
        <v>49</v>
      </c>
      <c r="J12" s="7"/>
      <c r="K12" s="7" t="n">
        <v>8</v>
      </c>
      <c r="L12" s="10" t="s">
        <v>84</v>
      </c>
      <c r="M12" s="10" t="s">
        <v>58</v>
      </c>
    </row>
    <row r="13" customFormat="false" ht="45.75" hidden="false" customHeight="true" outlineLevel="0" collapsed="false">
      <c r="A13" s="12" t="s">
        <v>110</v>
      </c>
      <c r="B13" s="12" t="s">
        <v>100</v>
      </c>
      <c r="C13" s="13" t="s">
        <v>111</v>
      </c>
      <c r="D13" s="13" t="s">
        <v>112</v>
      </c>
      <c r="E13" s="13" t="s">
        <v>113</v>
      </c>
      <c r="F13" s="14" t="s">
        <v>53</v>
      </c>
      <c r="G13" s="12" t="s">
        <v>54</v>
      </c>
      <c r="H13" s="15" t="s">
        <v>114</v>
      </c>
      <c r="I13" s="12" t="s">
        <v>49</v>
      </c>
      <c r="J13" s="12"/>
      <c r="K13" s="12" t="n">
        <v>13</v>
      </c>
      <c r="L13" s="15" t="s">
        <v>84</v>
      </c>
      <c r="M13" s="15" t="s">
        <v>58</v>
      </c>
    </row>
    <row r="14" customFormat="false" ht="45.75" hidden="false" customHeight="true" outlineLevel="0" collapsed="false">
      <c r="A14" s="7" t="s">
        <v>115</v>
      </c>
      <c r="B14" s="7" t="s">
        <v>100</v>
      </c>
      <c r="C14" s="8" t="s">
        <v>116</v>
      </c>
      <c r="D14" s="8" t="s">
        <v>117</v>
      </c>
      <c r="E14" s="8" t="s">
        <v>118</v>
      </c>
      <c r="F14" s="9" t="s">
        <v>53</v>
      </c>
      <c r="G14" s="7" t="s">
        <v>54</v>
      </c>
      <c r="H14" s="10" t="s">
        <v>119</v>
      </c>
      <c r="I14" s="7" t="s">
        <v>100</v>
      </c>
      <c r="J14" s="7"/>
      <c r="K14" s="7" t="n">
        <v>8</v>
      </c>
      <c r="L14" s="10" t="s">
        <v>84</v>
      </c>
      <c r="M14" s="10" t="s">
        <v>58</v>
      </c>
    </row>
    <row r="15" customFormat="false" ht="45.75" hidden="false" customHeight="true" outlineLevel="0" collapsed="false">
      <c r="A15" s="12" t="s">
        <v>120</v>
      </c>
      <c r="B15" s="12" t="s">
        <v>100</v>
      </c>
      <c r="C15" s="13" t="s">
        <v>121</v>
      </c>
      <c r="D15" s="13" t="s">
        <v>122</v>
      </c>
      <c r="E15" s="13" t="s">
        <v>123</v>
      </c>
      <c r="F15" s="14" t="s">
        <v>53</v>
      </c>
      <c r="G15" s="12" t="s">
        <v>54</v>
      </c>
      <c r="H15" s="15" t="s">
        <v>124</v>
      </c>
      <c r="I15" s="12"/>
      <c r="J15" s="12"/>
      <c r="K15" s="12" t="n">
        <v>8</v>
      </c>
      <c r="L15" s="15" t="s">
        <v>64</v>
      </c>
      <c r="M15" s="15" t="s">
        <v>58</v>
      </c>
    </row>
    <row r="16" customFormat="false" ht="45.75" hidden="false" customHeight="true" outlineLevel="0" collapsed="false">
      <c r="A16" s="7" t="s">
        <v>125</v>
      </c>
      <c r="B16" s="7" t="s">
        <v>100</v>
      </c>
      <c r="C16" s="8" t="s">
        <v>126</v>
      </c>
      <c r="D16" s="8" t="s">
        <v>127</v>
      </c>
      <c r="E16" s="8" t="s">
        <v>128</v>
      </c>
      <c r="F16" s="9" t="s">
        <v>53</v>
      </c>
      <c r="G16" s="7" t="s">
        <v>54</v>
      </c>
      <c r="H16" s="10" t="s">
        <v>129</v>
      </c>
      <c r="I16" s="7"/>
      <c r="J16" s="7"/>
      <c r="K16" s="7" t="n">
        <v>5</v>
      </c>
      <c r="L16" s="10" t="s">
        <v>64</v>
      </c>
      <c r="M16" s="10" t="s">
        <v>58</v>
      </c>
    </row>
    <row r="17" customFormat="false" ht="45.75" hidden="false" customHeight="true" outlineLevel="0" collapsed="false">
      <c r="A17" s="12" t="s">
        <v>130</v>
      </c>
      <c r="B17" s="12" t="s">
        <v>100</v>
      </c>
      <c r="C17" s="13" t="s">
        <v>131</v>
      </c>
      <c r="D17" s="13" t="s">
        <v>132</v>
      </c>
      <c r="E17" s="13" t="s">
        <v>133</v>
      </c>
      <c r="F17" s="14" t="s">
        <v>53</v>
      </c>
      <c r="G17" s="12" t="s">
        <v>54</v>
      </c>
      <c r="H17" s="15" t="s">
        <v>134</v>
      </c>
      <c r="I17" s="12"/>
      <c r="J17" s="12"/>
      <c r="K17" s="12" t="n">
        <v>5</v>
      </c>
      <c r="L17" s="15" t="s">
        <v>84</v>
      </c>
      <c r="M17" s="15" t="s">
        <v>58</v>
      </c>
    </row>
    <row r="18" customFormat="false" ht="45.75" hidden="false" customHeight="true" outlineLevel="0" collapsed="false">
      <c r="A18" s="7" t="s">
        <v>135</v>
      </c>
      <c r="B18" s="7" t="s">
        <v>100</v>
      </c>
      <c r="C18" s="8" t="s">
        <v>136</v>
      </c>
      <c r="D18" s="8" t="s">
        <v>137</v>
      </c>
      <c r="E18" s="8" t="s">
        <v>138</v>
      </c>
      <c r="F18" s="9" t="s">
        <v>53</v>
      </c>
      <c r="G18" s="7" t="s">
        <v>54</v>
      </c>
      <c r="H18" s="10" t="s">
        <v>139</v>
      </c>
      <c r="I18" s="7"/>
      <c r="J18" s="7"/>
      <c r="K18" s="7" t="n">
        <v>8</v>
      </c>
      <c r="L18" s="10" t="s">
        <v>84</v>
      </c>
      <c r="M18" s="10" t="s">
        <v>58</v>
      </c>
    </row>
    <row r="19" customFormat="false" ht="45.75" hidden="false" customHeight="true" outlineLevel="0" collapsed="false">
      <c r="A19" s="12" t="s">
        <v>140</v>
      </c>
      <c r="B19" s="12" t="s">
        <v>100</v>
      </c>
      <c r="C19" s="13" t="s">
        <v>141</v>
      </c>
      <c r="D19" s="13" t="s">
        <v>142</v>
      </c>
      <c r="E19" s="13" t="s">
        <v>143</v>
      </c>
      <c r="F19" s="14" t="s">
        <v>53</v>
      </c>
      <c r="G19" s="12" t="s">
        <v>54</v>
      </c>
      <c r="H19" s="15" t="s">
        <v>144</v>
      </c>
      <c r="I19" s="12"/>
      <c r="J19" s="12"/>
      <c r="K19" s="12" t="n">
        <v>5</v>
      </c>
      <c r="L19" s="15" t="s">
        <v>64</v>
      </c>
      <c r="M19" s="15" t="s">
        <v>58</v>
      </c>
    </row>
    <row r="20" customFormat="false" ht="45.75" hidden="false" customHeight="true" outlineLevel="0" collapsed="false">
      <c r="A20" s="7" t="s">
        <v>145</v>
      </c>
      <c r="B20" s="7" t="s">
        <v>146</v>
      </c>
      <c r="C20" s="8" t="s">
        <v>147</v>
      </c>
      <c r="D20" s="8" t="s">
        <v>148</v>
      </c>
      <c r="E20" s="8" t="s">
        <v>149</v>
      </c>
      <c r="F20" s="9" t="s">
        <v>53</v>
      </c>
      <c r="G20" s="7" t="s">
        <v>54</v>
      </c>
      <c r="H20" s="10" t="s">
        <v>150</v>
      </c>
      <c r="I20" s="7" t="s">
        <v>151</v>
      </c>
      <c r="J20" s="11" t="s">
        <v>152</v>
      </c>
      <c r="K20" s="7" t="n">
        <v>8</v>
      </c>
      <c r="L20" s="10" t="s">
        <v>64</v>
      </c>
      <c r="M20" s="10" t="s">
        <v>58</v>
      </c>
    </row>
    <row r="21" customFormat="false" ht="45.75" hidden="false" customHeight="true" outlineLevel="0" collapsed="false">
      <c r="A21" s="12" t="s">
        <v>153</v>
      </c>
      <c r="B21" s="12" t="s">
        <v>146</v>
      </c>
      <c r="C21" s="13" t="s">
        <v>154</v>
      </c>
      <c r="D21" s="13" t="s">
        <v>155</v>
      </c>
      <c r="E21" s="13" t="s">
        <v>156</v>
      </c>
      <c r="F21" s="14" t="s">
        <v>53</v>
      </c>
      <c r="G21" s="12" t="s">
        <v>54</v>
      </c>
      <c r="H21" s="15" t="s">
        <v>150</v>
      </c>
      <c r="I21" s="12"/>
      <c r="J21" s="12"/>
      <c r="K21" s="12" t="n">
        <v>5</v>
      </c>
      <c r="L21" s="15" t="s">
        <v>64</v>
      </c>
      <c r="M21" s="15" t="s">
        <v>58</v>
      </c>
    </row>
    <row r="22" customFormat="false" ht="45.75" hidden="false" customHeight="true" outlineLevel="0" collapsed="false">
      <c r="A22" s="7" t="s">
        <v>157</v>
      </c>
      <c r="B22" s="7" t="s">
        <v>146</v>
      </c>
      <c r="C22" s="8" t="s">
        <v>158</v>
      </c>
      <c r="D22" s="8" t="s">
        <v>159</v>
      </c>
      <c r="E22" s="8" t="s">
        <v>160</v>
      </c>
      <c r="F22" s="9" t="s">
        <v>53</v>
      </c>
      <c r="G22" s="7" t="s">
        <v>54</v>
      </c>
      <c r="H22" s="10" t="s">
        <v>161</v>
      </c>
      <c r="I22" s="7" t="s">
        <v>146</v>
      </c>
      <c r="J22" s="7"/>
      <c r="K22" s="7" t="n">
        <v>5</v>
      </c>
      <c r="L22" s="10" t="s">
        <v>64</v>
      </c>
      <c r="M22" s="10" t="s">
        <v>58</v>
      </c>
    </row>
    <row r="23" customFormat="false" ht="45.75" hidden="false" customHeight="true" outlineLevel="0" collapsed="false">
      <c r="A23" s="12" t="s">
        <v>162</v>
      </c>
      <c r="B23" s="12" t="s">
        <v>146</v>
      </c>
      <c r="C23" s="13" t="s">
        <v>163</v>
      </c>
      <c r="D23" s="13" t="s">
        <v>164</v>
      </c>
      <c r="E23" s="13" t="s">
        <v>165</v>
      </c>
      <c r="F23" s="14" t="s">
        <v>53</v>
      </c>
      <c r="G23" s="12" t="s">
        <v>54</v>
      </c>
      <c r="H23" s="15" t="s">
        <v>166</v>
      </c>
      <c r="I23" s="12" t="s">
        <v>151</v>
      </c>
      <c r="J23" s="12"/>
      <c r="K23" s="12" t="n">
        <v>8</v>
      </c>
      <c r="L23" s="15" t="s">
        <v>64</v>
      </c>
      <c r="M23" s="15" t="s">
        <v>58</v>
      </c>
    </row>
    <row r="24" customFormat="false" ht="45.75" hidden="false" customHeight="true" outlineLevel="0" collapsed="false">
      <c r="A24" s="7" t="s">
        <v>167</v>
      </c>
      <c r="B24" s="7" t="s">
        <v>146</v>
      </c>
      <c r="C24" s="8" t="s">
        <v>168</v>
      </c>
      <c r="D24" s="8" t="s">
        <v>169</v>
      </c>
      <c r="E24" s="8" t="s">
        <v>170</v>
      </c>
      <c r="F24" s="9" t="s">
        <v>53</v>
      </c>
      <c r="G24" s="7" t="s">
        <v>54</v>
      </c>
      <c r="H24" s="10" t="s">
        <v>171</v>
      </c>
      <c r="I24" s="7" t="s">
        <v>172</v>
      </c>
      <c r="J24" s="7"/>
      <c r="K24" s="7" t="n">
        <v>8</v>
      </c>
      <c r="L24" s="10" t="s">
        <v>84</v>
      </c>
      <c r="M24" s="10" t="s">
        <v>58</v>
      </c>
    </row>
    <row r="25" customFormat="false" ht="45.75" hidden="false" customHeight="true" outlineLevel="0" collapsed="false">
      <c r="A25" s="12" t="s">
        <v>173</v>
      </c>
      <c r="B25" s="12" t="s">
        <v>146</v>
      </c>
      <c r="C25" s="13" t="s">
        <v>174</v>
      </c>
      <c r="D25" s="13" t="s">
        <v>175</v>
      </c>
      <c r="E25" s="13" t="s">
        <v>176</v>
      </c>
      <c r="F25" s="14" t="s">
        <v>53</v>
      </c>
      <c r="G25" s="12" t="s">
        <v>54</v>
      </c>
      <c r="H25" s="15" t="s">
        <v>166</v>
      </c>
      <c r="I25" s="12" t="s">
        <v>146</v>
      </c>
      <c r="J25" s="12"/>
      <c r="K25" s="12" t="n">
        <v>5</v>
      </c>
      <c r="L25" s="15" t="s">
        <v>64</v>
      </c>
      <c r="M25" s="15" t="s">
        <v>58</v>
      </c>
    </row>
    <row r="26" customFormat="false" ht="45.75" hidden="false" customHeight="true" outlineLevel="0" collapsed="false">
      <c r="A26" s="7" t="s">
        <v>177</v>
      </c>
      <c r="B26" s="7" t="s">
        <v>146</v>
      </c>
      <c r="C26" s="8" t="s">
        <v>178</v>
      </c>
      <c r="D26" s="8" t="s">
        <v>179</v>
      </c>
      <c r="E26" s="8" t="s">
        <v>180</v>
      </c>
      <c r="F26" s="9" t="s">
        <v>53</v>
      </c>
      <c r="G26" s="7" t="s">
        <v>54</v>
      </c>
      <c r="H26" s="10" t="s">
        <v>181</v>
      </c>
      <c r="I26" s="7" t="s">
        <v>146</v>
      </c>
      <c r="J26" s="7"/>
      <c r="K26" s="7" t="n">
        <v>5</v>
      </c>
      <c r="L26" s="10" t="s">
        <v>182</v>
      </c>
      <c r="M26" s="10" t="s">
        <v>58</v>
      </c>
    </row>
    <row r="27" customFormat="false" ht="45.75" hidden="false" customHeight="true" outlineLevel="0" collapsed="false">
      <c r="A27" s="12" t="s">
        <v>183</v>
      </c>
      <c r="B27" s="12" t="s">
        <v>146</v>
      </c>
      <c r="C27" s="13" t="s">
        <v>184</v>
      </c>
      <c r="D27" s="13" t="s">
        <v>185</v>
      </c>
      <c r="E27" s="13" t="s">
        <v>186</v>
      </c>
      <c r="F27" s="12" t="s">
        <v>187</v>
      </c>
      <c r="G27" s="12" t="s">
        <v>54</v>
      </c>
      <c r="H27" s="15" t="s">
        <v>188</v>
      </c>
      <c r="I27" s="12"/>
      <c r="J27" s="12"/>
      <c r="K27" s="12" t="n">
        <v>3</v>
      </c>
      <c r="L27" s="15" t="s">
        <v>64</v>
      </c>
      <c r="M27" s="15" t="s">
        <v>58</v>
      </c>
    </row>
    <row r="28" customFormat="false" ht="45.75" hidden="false" customHeight="true" outlineLevel="0" collapsed="false">
      <c r="A28" s="7" t="s">
        <v>189</v>
      </c>
      <c r="B28" s="7" t="s">
        <v>146</v>
      </c>
      <c r="C28" s="8" t="s">
        <v>190</v>
      </c>
      <c r="D28" s="8" t="s">
        <v>191</v>
      </c>
      <c r="E28" s="8" t="s">
        <v>192</v>
      </c>
      <c r="F28" s="7" t="s">
        <v>187</v>
      </c>
      <c r="G28" s="7" t="s">
        <v>193</v>
      </c>
      <c r="H28" s="10" t="s">
        <v>188</v>
      </c>
      <c r="I28" s="7" t="s">
        <v>146</v>
      </c>
      <c r="J28" s="7"/>
      <c r="K28" s="7" t="n">
        <v>8</v>
      </c>
      <c r="L28" s="10" t="s">
        <v>182</v>
      </c>
      <c r="M28" s="10" t="s">
        <v>58</v>
      </c>
    </row>
    <row r="29" customFormat="false" ht="45.75" hidden="false" customHeight="true" outlineLevel="0" collapsed="false">
      <c r="A29" s="12" t="s">
        <v>194</v>
      </c>
      <c r="B29" s="12" t="s">
        <v>195</v>
      </c>
      <c r="C29" s="13" t="s">
        <v>196</v>
      </c>
      <c r="D29" s="13" t="s">
        <v>197</v>
      </c>
      <c r="E29" s="13" t="s">
        <v>198</v>
      </c>
      <c r="F29" s="14" t="s">
        <v>53</v>
      </c>
      <c r="G29" s="12" t="s">
        <v>54</v>
      </c>
      <c r="H29" s="15" t="s">
        <v>199</v>
      </c>
      <c r="I29" s="12" t="s">
        <v>49</v>
      </c>
      <c r="J29" s="12"/>
      <c r="K29" s="12" t="n">
        <v>13</v>
      </c>
      <c r="L29" s="15" t="s">
        <v>84</v>
      </c>
      <c r="M29" s="15" t="s">
        <v>58</v>
      </c>
    </row>
    <row r="30" customFormat="false" ht="45.75" hidden="false" customHeight="true" outlineLevel="0" collapsed="false">
      <c r="A30" s="7" t="s">
        <v>200</v>
      </c>
      <c r="B30" s="7" t="s">
        <v>195</v>
      </c>
      <c r="C30" s="8" t="s">
        <v>201</v>
      </c>
      <c r="D30" s="8" t="s">
        <v>202</v>
      </c>
      <c r="E30" s="8" t="s">
        <v>203</v>
      </c>
      <c r="F30" s="9" t="s">
        <v>53</v>
      </c>
      <c r="G30" s="7" t="s">
        <v>54</v>
      </c>
      <c r="H30" s="10" t="s">
        <v>204</v>
      </c>
      <c r="I30" s="7" t="s">
        <v>195</v>
      </c>
      <c r="J30" s="7"/>
      <c r="K30" s="7" t="n">
        <v>8</v>
      </c>
      <c r="L30" s="10" t="s">
        <v>84</v>
      </c>
      <c r="M30" s="10" t="s">
        <v>58</v>
      </c>
    </row>
    <row r="31" customFormat="false" ht="45.75" hidden="false" customHeight="true" outlineLevel="0" collapsed="false">
      <c r="A31" s="12" t="s">
        <v>26</v>
      </c>
      <c r="B31" s="12" t="s">
        <v>195</v>
      </c>
      <c r="C31" s="13" t="s">
        <v>205</v>
      </c>
      <c r="D31" s="13" t="s">
        <v>206</v>
      </c>
      <c r="E31" s="13" t="s">
        <v>207</v>
      </c>
      <c r="F31" s="14" t="s">
        <v>53</v>
      </c>
      <c r="G31" s="12" t="s">
        <v>54</v>
      </c>
      <c r="H31" s="15" t="s">
        <v>208</v>
      </c>
      <c r="I31" s="12" t="s">
        <v>195</v>
      </c>
      <c r="J31" s="12"/>
      <c r="K31" s="12" t="n">
        <v>8</v>
      </c>
      <c r="L31" s="15" t="s">
        <v>64</v>
      </c>
      <c r="M31" s="15" t="s">
        <v>58</v>
      </c>
    </row>
    <row r="32" customFormat="false" ht="45.75" hidden="false" customHeight="true" outlineLevel="0" collapsed="false">
      <c r="A32" s="7" t="s">
        <v>209</v>
      </c>
      <c r="B32" s="7" t="s">
        <v>195</v>
      </c>
      <c r="C32" s="8" t="s">
        <v>210</v>
      </c>
      <c r="D32" s="8" t="s">
        <v>211</v>
      </c>
      <c r="E32" s="8" t="s">
        <v>212</v>
      </c>
      <c r="F32" s="9" t="s">
        <v>53</v>
      </c>
      <c r="G32" s="7" t="s">
        <v>54</v>
      </c>
      <c r="H32" s="10" t="s">
        <v>204</v>
      </c>
      <c r="I32" s="7" t="s">
        <v>195</v>
      </c>
      <c r="J32" s="7"/>
      <c r="K32" s="7" t="n">
        <v>5</v>
      </c>
      <c r="L32" s="10" t="s">
        <v>213</v>
      </c>
      <c r="M32" s="10" t="s">
        <v>58</v>
      </c>
    </row>
    <row r="33" customFormat="false" ht="45.75" hidden="false" customHeight="true" outlineLevel="0" collapsed="false">
      <c r="A33" s="12" t="s">
        <v>214</v>
      </c>
      <c r="B33" s="12" t="s">
        <v>195</v>
      </c>
      <c r="C33" s="13" t="s">
        <v>215</v>
      </c>
      <c r="D33" s="13" t="s">
        <v>216</v>
      </c>
      <c r="E33" s="13" t="s">
        <v>217</v>
      </c>
      <c r="F33" s="14" t="s">
        <v>53</v>
      </c>
      <c r="G33" s="12" t="s">
        <v>54</v>
      </c>
      <c r="H33" s="15" t="s">
        <v>218</v>
      </c>
      <c r="I33" s="12" t="s">
        <v>195</v>
      </c>
      <c r="J33" s="12"/>
      <c r="K33" s="12" t="n">
        <v>3</v>
      </c>
      <c r="L33" s="15" t="s">
        <v>84</v>
      </c>
      <c r="M33" s="15" t="s">
        <v>58</v>
      </c>
    </row>
    <row r="34" customFormat="false" ht="45.75" hidden="false" customHeight="true" outlineLevel="0" collapsed="false">
      <c r="A34" s="7" t="s">
        <v>219</v>
      </c>
      <c r="B34" s="7" t="s">
        <v>195</v>
      </c>
      <c r="C34" s="8" t="s">
        <v>220</v>
      </c>
      <c r="D34" s="8" t="s">
        <v>221</v>
      </c>
      <c r="E34" s="8" t="s">
        <v>222</v>
      </c>
      <c r="F34" s="9" t="s">
        <v>53</v>
      </c>
      <c r="G34" s="7" t="s">
        <v>54</v>
      </c>
      <c r="H34" s="10" t="s">
        <v>223</v>
      </c>
      <c r="I34" s="7" t="s">
        <v>195</v>
      </c>
      <c r="J34" s="7"/>
      <c r="K34" s="7" t="n">
        <v>3</v>
      </c>
      <c r="L34" s="10" t="s">
        <v>84</v>
      </c>
      <c r="M34" s="10" t="s">
        <v>58</v>
      </c>
    </row>
    <row r="35" customFormat="false" ht="45.75" hidden="false" customHeight="true" outlineLevel="0" collapsed="false">
      <c r="A35" s="12" t="s">
        <v>224</v>
      </c>
      <c r="B35" s="12" t="s">
        <v>195</v>
      </c>
      <c r="C35" s="13" t="s">
        <v>225</v>
      </c>
      <c r="D35" s="13" t="s">
        <v>226</v>
      </c>
      <c r="E35" s="13" t="s">
        <v>227</v>
      </c>
      <c r="F35" s="14" t="s">
        <v>53</v>
      </c>
      <c r="G35" s="12" t="s">
        <v>54</v>
      </c>
      <c r="H35" s="15" t="s">
        <v>228</v>
      </c>
      <c r="I35" s="12" t="s">
        <v>151</v>
      </c>
      <c r="J35" s="12"/>
      <c r="K35" s="12" t="n">
        <v>5</v>
      </c>
      <c r="L35" s="15" t="s">
        <v>64</v>
      </c>
      <c r="M35" s="15" t="s">
        <v>58</v>
      </c>
    </row>
    <row r="36" customFormat="false" ht="45.75" hidden="false" customHeight="true" outlineLevel="0" collapsed="false">
      <c r="A36" s="7" t="s">
        <v>229</v>
      </c>
      <c r="B36" s="7" t="s">
        <v>195</v>
      </c>
      <c r="C36" s="8" t="s">
        <v>230</v>
      </c>
      <c r="D36" s="8" t="s">
        <v>231</v>
      </c>
      <c r="E36" s="8" t="s">
        <v>232</v>
      </c>
      <c r="F36" s="9" t="s">
        <v>53</v>
      </c>
      <c r="G36" s="7" t="s">
        <v>54</v>
      </c>
      <c r="H36" s="10" t="s">
        <v>233</v>
      </c>
      <c r="I36" s="7" t="s">
        <v>195</v>
      </c>
      <c r="J36" s="7"/>
      <c r="K36" s="7" t="n">
        <v>5</v>
      </c>
      <c r="L36" s="10" t="s">
        <v>64</v>
      </c>
      <c r="M36" s="10" t="s">
        <v>58</v>
      </c>
    </row>
    <row r="37" customFormat="false" ht="45.75" hidden="false" customHeight="true" outlineLevel="0" collapsed="false">
      <c r="A37" s="12" t="s">
        <v>234</v>
      </c>
      <c r="B37" s="12" t="s">
        <v>235</v>
      </c>
      <c r="C37" s="13" t="s">
        <v>236</v>
      </c>
      <c r="D37" s="13" t="s">
        <v>237</v>
      </c>
      <c r="E37" s="13" t="s">
        <v>238</v>
      </c>
      <c r="F37" s="14" t="s">
        <v>53</v>
      </c>
      <c r="G37" s="12" t="s">
        <v>54</v>
      </c>
      <c r="H37" s="15" t="s">
        <v>239</v>
      </c>
      <c r="I37" s="12" t="s">
        <v>146</v>
      </c>
      <c r="J37" s="12"/>
      <c r="K37" s="12" t="n">
        <v>8</v>
      </c>
      <c r="L37" s="15" t="s">
        <v>84</v>
      </c>
      <c r="M37" s="15" t="s">
        <v>58</v>
      </c>
    </row>
    <row r="38" customFormat="false" ht="45.75" hidden="false" customHeight="true" outlineLevel="0" collapsed="false">
      <c r="A38" s="7" t="s">
        <v>240</v>
      </c>
      <c r="B38" s="7" t="s">
        <v>235</v>
      </c>
      <c r="C38" s="8" t="s">
        <v>241</v>
      </c>
      <c r="D38" s="8" t="s">
        <v>242</v>
      </c>
      <c r="E38" s="8" t="s">
        <v>243</v>
      </c>
      <c r="F38" s="9" t="s">
        <v>53</v>
      </c>
      <c r="G38" s="7" t="s">
        <v>54</v>
      </c>
      <c r="H38" s="10" t="s">
        <v>244</v>
      </c>
      <c r="I38" s="7" t="s">
        <v>151</v>
      </c>
      <c r="J38" s="7"/>
      <c r="K38" s="7" t="n">
        <v>13</v>
      </c>
      <c r="L38" s="10" t="s">
        <v>64</v>
      </c>
      <c r="M38" s="10" t="s">
        <v>58</v>
      </c>
    </row>
    <row r="39" customFormat="false" ht="45.75" hidden="false" customHeight="true" outlineLevel="0" collapsed="false">
      <c r="A39" s="12" t="s">
        <v>245</v>
      </c>
      <c r="B39" s="12" t="s">
        <v>235</v>
      </c>
      <c r="C39" s="13" t="s">
        <v>246</v>
      </c>
      <c r="D39" s="13" t="s">
        <v>247</v>
      </c>
      <c r="E39" s="13" t="s">
        <v>248</v>
      </c>
      <c r="F39" s="14" t="s">
        <v>53</v>
      </c>
      <c r="G39" s="12" t="s">
        <v>54</v>
      </c>
      <c r="H39" s="15" t="s">
        <v>249</v>
      </c>
      <c r="I39" s="12" t="s">
        <v>235</v>
      </c>
      <c r="J39" s="12"/>
      <c r="K39" s="12" t="n">
        <v>5</v>
      </c>
      <c r="L39" s="15" t="s">
        <v>64</v>
      </c>
      <c r="M39" s="15" t="s">
        <v>58</v>
      </c>
    </row>
    <row r="40" customFormat="false" ht="45.75" hidden="false" customHeight="true" outlineLevel="0" collapsed="false">
      <c r="A40" s="7" t="s">
        <v>250</v>
      </c>
      <c r="B40" s="7" t="s">
        <v>235</v>
      </c>
      <c r="C40" s="8" t="s">
        <v>251</v>
      </c>
      <c r="D40" s="8" t="s">
        <v>252</v>
      </c>
      <c r="E40" s="8" t="s">
        <v>253</v>
      </c>
      <c r="F40" s="9" t="s">
        <v>53</v>
      </c>
      <c r="G40" s="7" t="s">
        <v>54</v>
      </c>
      <c r="H40" s="10" t="s">
        <v>254</v>
      </c>
      <c r="I40" s="7" t="s">
        <v>235</v>
      </c>
      <c r="J40" s="7"/>
      <c r="K40" s="7" t="n">
        <v>3</v>
      </c>
      <c r="L40" s="10" t="s">
        <v>64</v>
      </c>
      <c r="M40" s="10" t="s">
        <v>58</v>
      </c>
    </row>
    <row r="41" customFormat="false" ht="45.75" hidden="false" customHeight="true" outlineLevel="0" collapsed="false">
      <c r="A41" s="12" t="s">
        <v>255</v>
      </c>
      <c r="B41" s="12" t="s">
        <v>235</v>
      </c>
      <c r="C41" s="13" t="s">
        <v>256</v>
      </c>
      <c r="D41" s="13" t="s">
        <v>257</v>
      </c>
      <c r="E41" s="13" t="s">
        <v>258</v>
      </c>
      <c r="F41" s="14" t="s">
        <v>53</v>
      </c>
      <c r="G41" s="12" t="s">
        <v>54</v>
      </c>
      <c r="H41" s="15" t="s">
        <v>259</v>
      </c>
      <c r="I41" s="12" t="s">
        <v>235</v>
      </c>
      <c r="J41" s="12"/>
      <c r="K41" s="12" t="n">
        <v>8</v>
      </c>
      <c r="L41" s="15" t="s">
        <v>182</v>
      </c>
      <c r="M41" s="15" t="s">
        <v>58</v>
      </c>
    </row>
    <row r="42" customFormat="false" ht="45.75" hidden="false" customHeight="true" outlineLevel="0" collapsed="false">
      <c r="A42" s="7" t="s">
        <v>260</v>
      </c>
      <c r="B42" s="7" t="s">
        <v>235</v>
      </c>
      <c r="C42" s="8" t="s">
        <v>261</v>
      </c>
      <c r="D42" s="8" t="s">
        <v>262</v>
      </c>
      <c r="E42" s="8" t="s">
        <v>263</v>
      </c>
      <c r="F42" s="9" t="s">
        <v>53</v>
      </c>
      <c r="G42" s="7" t="s">
        <v>54</v>
      </c>
      <c r="H42" s="10" t="s">
        <v>264</v>
      </c>
      <c r="I42" s="7" t="s">
        <v>235</v>
      </c>
      <c r="J42" s="7"/>
      <c r="K42" s="7" t="n">
        <v>5</v>
      </c>
      <c r="L42" s="10" t="s">
        <v>64</v>
      </c>
      <c r="M42" s="10" t="s">
        <v>58</v>
      </c>
    </row>
    <row r="43" customFormat="false" ht="45.75" hidden="false" customHeight="true" outlineLevel="0" collapsed="false">
      <c r="A43" s="12" t="s">
        <v>265</v>
      </c>
      <c r="B43" s="12" t="s">
        <v>235</v>
      </c>
      <c r="C43" s="13" t="s">
        <v>266</v>
      </c>
      <c r="D43" s="13" t="s">
        <v>267</v>
      </c>
      <c r="E43" s="13" t="s">
        <v>268</v>
      </c>
      <c r="F43" s="14" t="s">
        <v>53</v>
      </c>
      <c r="G43" s="12" t="s">
        <v>54</v>
      </c>
      <c r="H43" s="15" t="s">
        <v>269</v>
      </c>
      <c r="I43" s="12" t="s">
        <v>172</v>
      </c>
      <c r="J43" s="12"/>
      <c r="K43" s="12" t="n">
        <v>13</v>
      </c>
      <c r="L43" s="15" t="s">
        <v>64</v>
      </c>
      <c r="M43" s="15" t="s">
        <v>58</v>
      </c>
    </row>
    <row r="44" customFormat="false" ht="45.75" hidden="false" customHeight="true" outlineLevel="0" collapsed="false">
      <c r="A44" s="7" t="s">
        <v>270</v>
      </c>
      <c r="B44" s="7" t="s">
        <v>235</v>
      </c>
      <c r="C44" s="8" t="s">
        <v>271</v>
      </c>
      <c r="D44" s="8" t="s">
        <v>272</v>
      </c>
      <c r="E44" s="8" t="s">
        <v>273</v>
      </c>
      <c r="F44" s="9" t="s">
        <v>53</v>
      </c>
      <c r="G44" s="7" t="s">
        <v>54</v>
      </c>
      <c r="H44" s="10" t="s">
        <v>274</v>
      </c>
      <c r="I44" s="7" t="s">
        <v>172</v>
      </c>
      <c r="J44" s="7"/>
      <c r="K44" s="7" t="n">
        <v>13</v>
      </c>
      <c r="L44" s="10" t="s">
        <v>73</v>
      </c>
      <c r="M44" s="10" t="s">
        <v>58</v>
      </c>
    </row>
    <row r="45" customFormat="false" ht="45.75" hidden="false" customHeight="true" outlineLevel="0" collapsed="false">
      <c r="A45" s="12" t="s">
        <v>275</v>
      </c>
      <c r="B45" s="12" t="s">
        <v>235</v>
      </c>
      <c r="C45" s="13" t="s">
        <v>276</v>
      </c>
      <c r="D45" s="13" t="s">
        <v>277</v>
      </c>
      <c r="E45" s="13" t="s">
        <v>278</v>
      </c>
      <c r="F45" s="14" t="s">
        <v>53</v>
      </c>
      <c r="G45" s="12" t="s">
        <v>54</v>
      </c>
      <c r="H45" s="15" t="s">
        <v>269</v>
      </c>
      <c r="I45" s="12" t="s">
        <v>235</v>
      </c>
      <c r="J45" s="12"/>
      <c r="K45" s="12" t="n">
        <v>8</v>
      </c>
      <c r="L45" s="15" t="s">
        <v>73</v>
      </c>
      <c r="M45" s="15" t="s">
        <v>58</v>
      </c>
    </row>
    <row r="46" customFormat="false" ht="45.75" hidden="false" customHeight="true" outlineLevel="0" collapsed="false">
      <c r="A46" s="7" t="s">
        <v>279</v>
      </c>
      <c r="B46" s="7" t="s">
        <v>235</v>
      </c>
      <c r="C46" s="8" t="s">
        <v>280</v>
      </c>
      <c r="D46" s="8" t="s">
        <v>281</v>
      </c>
      <c r="E46" s="8" t="s">
        <v>282</v>
      </c>
      <c r="F46" s="9" t="s">
        <v>53</v>
      </c>
      <c r="G46" s="7" t="s">
        <v>54</v>
      </c>
      <c r="H46" s="10" t="s">
        <v>269</v>
      </c>
      <c r="I46" s="7" t="s">
        <v>235</v>
      </c>
      <c r="J46" s="7"/>
      <c r="K46" s="7" t="n">
        <v>5</v>
      </c>
      <c r="L46" s="10" t="s">
        <v>213</v>
      </c>
      <c r="M46" s="10" t="s">
        <v>58</v>
      </c>
    </row>
    <row r="47" customFormat="false" ht="45.75" hidden="false" customHeight="true" outlineLevel="0" collapsed="false">
      <c r="A47" s="12" t="s">
        <v>283</v>
      </c>
      <c r="B47" s="12" t="s">
        <v>235</v>
      </c>
      <c r="C47" s="13" t="s">
        <v>284</v>
      </c>
      <c r="D47" s="13" t="s">
        <v>285</v>
      </c>
      <c r="E47" s="13" t="s">
        <v>286</v>
      </c>
      <c r="F47" s="14" t="s">
        <v>53</v>
      </c>
      <c r="G47" s="12" t="s">
        <v>54</v>
      </c>
      <c r="H47" s="15" t="s">
        <v>287</v>
      </c>
      <c r="I47" s="12" t="s">
        <v>288</v>
      </c>
      <c r="J47" s="12"/>
      <c r="K47" s="12" t="n">
        <v>5</v>
      </c>
      <c r="L47" s="15" t="s">
        <v>64</v>
      </c>
      <c r="M47" s="15" t="s">
        <v>58</v>
      </c>
    </row>
    <row r="48" customFormat="false" ht="45.75" hidden="false" customHeight="true" outlineLevel="0" collapsed="false">
      <c r="A48" s="7" t="s">
        <v>289</v>
      </c>
      <c r="B48" s="7" t="s">
        <v>235</v>
      </c>
      <c r="C48" s="8" t="s">
        <v>290</v>
      </c>
      <c r="D48" s="8" t="s">
        <v>291</v>
      </c>
      <c r="E48" s="8" t="s">
        <v>292</v>
      </c>
      <c r="F48" s="7" t="s">
        <v>187</v>
      </c>
      <c r="G48" s="7" t="s">
        <v>193</v>
      </c>
      <c r="H48" s="10" t="s">
        <v>293</v>
      </c>
      <c r="I48" s="7" t="s">
        <v>151</v>
      </c>
      <c r="J48" s="7"/>
      <c r="K48" s="7" t="n">
        <v>5</v>
      </c>
      <c r="L48" s="10" t="s">
        <v>64</v>
      </c>
      <c r="M48" s="10" t="s">
        <v>58</v>
      </c>
    </row>
    <row r="49" customFormat="false" ht="45.75" hidden="false" customHeight="true" outlineLevel="0" collapsed="false">
      <c r="A49" s="12" t="s">
        <v>294</v>
      </c>
      <c r="B49" s="12" t="s">
        <v>295</v>
      </c>
      <c r="C49" s="13" t="s">
        <v>296</v>
      </c>
      <c r="D49" s="13" t="s">
        <v>297</v>
      </c>
      <c r="E49" s="13" t="s">
        <v>298</v>
      </c>
      <c r="F49" s="14" t="s">
        <v>53</v>
      </c>
      <c r="G49" s="12" t="s">
        <v>54</v>
      </c>
      <c r="H49" s="15" t="s">
        <v>299</v>
      </c>
      <c r="I49" s="12" t="s">
        <v>146</v>
      </c>
      <c r="J49" s="12"/>
      <c r="K49" s="12" t="n">
        <v>5</v>
      </c>
      <c r="L49" s="15" t="s">
        <v>64</v>
      </c>
      <c r="M49" s="15" t="s">
        <v>58</v>
      </c>
    </row>
    <row r="50" customFormat="false" ht="45.75" hidden="false" customHeight="true" outlineLevel="0" collapsed="false">
      <c r="A50" s="7" t="s">
        <v>300</v>
      </c>
      <c r="B50" s="7" t="s">
        <v>295</v>
      </c>
      <c r="C50" s="8" t="s">
        <v>301</v>
      </c>
      <c r="D50" s="8" t="s">
        <v>302</v>
      </c>
      <c r="E50" s="8" t="s">
        <v>303</v>
      </c>
      <c r="F50" s="9" t="s">
        <v>53</v>
      </c>
      <c r="G50" s="7" t="s">
        <v>54</v>
      </c>
      <c r="H50" s="10" t="s">
        <v>299</v>
      </c>
      <c r="I50" s="7" t="s">
        <v>295</v>
      </c>
      <c r="J50" s="7"/>
      <c r="K50" s="7" t="n">
        <v>8</v>
      </c>
      <c r="L50" s="10" t="s">
        <v>84</v>
      </c>
      <c r="M50" s="10" t="s">
        <v>58</v>
      </c>
    </row>
    <row r="51" customFormat="false" ht="45.75" hidden="false" customHeight="true" outlineLevel="0" collapsed="false">
      <c r="A51" s="12" t="s">
        <v>304</v>
      </c>
      <c r="B51" s="12" t="s">
        <v>295</v>
      </c>
      <c r="C51" s="13" t="s">
        <v>305</v>
      </c>
      <c r="D51" s="13" t="s">
        <v>306</v>
      </c>
      <c r="E51" s="13" t="s">
        <v>307</v>
      </c>
      <c r="F51" s="12" t="s">
        <v>187</v>
      </c>
      <c r="G51" s="12" t="s">
        <v>193</v>
      </c>
      <c r="H51" s="15" t="s">
        <v>299</v>
      </c>
      <c r="I51" s="12" t="s">
        <v>172</v>
      </c>
      <c r="J51" s="12"/>
      <c r="K51" s="12" t="n">
        <v>8</v>
      </c>
      <c r="L51" s="15" t="s">
        <v>73</v>
      </c>
      <c r="M51" s="15" t="s">
        <v>58</v>
      </c>
    </row>
    <row r="52" customFormat="false" ht="45.75" hidden="false" customHeight="true" outlineLevel="0" collapsed="false">
      <c r="A52" s="7" t="s">
        <v>308</v>
      </c>
      <c r="B52" s="7" t="s">
        <v>309</v>
      </c>
      <c r="C52" s="8" t="s">
        <v>310</v>
      </c>
      <c r="D52" s="8" t="s">
        <v>311</v>
      </c>
      <c r="E52" s="8" t="s">
        <v>312</v>
      </c>
      <c r="F52" s="9" t="s">
        <v>53</v>
      </c>
      <c r="G52" s="7" t="s">
        <v>54</v>
      </c>
      <c r="H52" s="10" t="s">
        <v>313</v>
      </c>
      <c r="I52" s="7" t="s">
        <v>49</v>
      </c>
      <c r="J52" s="7"/>
      <c r="K52" s="7" t="n">
        <v>13</v>
      </c>
      <c r="L52" s="10" t="s">
        <v>64</v>
      </c>
      <c r="M52" s="10" t="s">
        <v>58</v>
      </c>
    </row>
    <row r="53" customFormat="false" ht="45.75" hidden="false" customHeight="true" outlineLevel="0" collapsed="false">
      <c r="A53" s="12" t="s">
        <v>314</v>
      </c>
      <c r="B53" s="12" t="s">
        <v>309</v>
      </c>
      <c r="C53" s="13" t="s">
        <v>315</v>
      </c>
      <c r="D53" s="13" t="s">
        <v>316</v>
      </c>
      <c r="E53" s="13" t="s">
        <v>317</v>
      </c>
      <c r="F53" s="14" t="s">
        <v>53</v>
      </c>
      <c r="G53" s="12" t="s">
        <v>54</v>
      </c>
      <c r="H53" s="15" t="s">
        <v>318</v>
      </c>
      <c r="I53" s="12" t="s">
        <v>309</v>
      </c>
      <c r="J53" s="12"/>
      <c r="K53" s="12" t="n">
        <v>5</v>
      </c>
      <c r="L53" s="15" t="s">
        <v>73</v>
      </c>
      <c r="M53" s="15" t="s">
        <v>58</v>
      </c>
    </row>
    <row r="54" customFormat="false" ht="45.75" hidden="false" customHeight="true" outlineLevel="0" collapsed="false">
      <c r="A54" s="7" t="s">
        <v>319</v>
      </c>
      <c r="B54" s="7" t="s">
        <v>309</v>
      </c>
      <c r="C54" s="8" t="s">
        <v>320</v>
      </c>
      <c r="D54" s="8" t="s">
        <v>321</v>
      </c>
      <c r="E54" s="8" t="s">
        <v>322</v>
      </c>
      <c r="F54" s="9" t="s">
        <v>53</v>
      </c>
      <c r="G54" s="7" t="s">
        <v>54</v>
      </c>
      <c r="H54" s="10" t="s">
        <v>323</v>
      </c>
      <c r="I54" s="7" t="s">
        <v>309</v>
      </c>
      <c r="J54" s="7"/>
      <c r="K54" s="7" t="n">
        <v>8</v>
      </c>
      <c r="L54" s="10" t="s">
        <v>73</v>
      </c>
      <c r="M54" s="10" t="s">
        <v>58</v>
      </c>
    </row>
    <row r="55" customFormat="false" ht="45.75" hidden="false" customHeight="true" outlineLevel="0" collapsed="false">
      <c r="A55" s="12" t="s">
        <v>324</v>
      </c>
      <c r="B55" s="12" t="s">
        <v>309</v>
      </c>
      <c r="C55" s="13" t="s">
        <v>325</v>
      </c>
      <c r="D55" s="13" t="s">
        <v>326</v>
      </c>
      <c r="E55" s="13" t="s">
        <v>327</v>
      </c>
      <c r="F55" s="14" t="s">
        <v>53</v>
      </c>
      <c r="G55" s="12" t="s">
        <v>54</v>
      </c>
      <c r="H55" s="15" t="s">
        <v>328</v>
      </c>
      <c r="I55" s="12" t="s">
        <v>309</v>
      </c>
      <c r="J55" s="12"/>
      <c r="K55" s="12" t="n">
        <v>8</v>
      </c>
      <c r="L55" s="15" t="s">
        <v>73</v>
      </c>
      <c r="M55" s="15" t="s">
        <v>58</v>
      </c>
    </row>
    <row r="56" customFormat="false" ht="45.75" hidden="false" customHeight="true" outlineLevel="0" collapsed="false">
      <c r="A56" s="7" t="s">
        <v>329</v>
      </c>
      <c r="B56" s="7" t="s">
        <v>309</v>
      </c>
      <c r="C56" s="8" t="s">
        <v>330</v>
      </c>
      <c r="D56" s="8" t="s">
        <v>331</v>
      </c>
      <c r="E56" s="8" t="s">
        <v>332</v>
      </c>
      <c r="F56" s="9" t="s">
        <v>53</v>
      </c>
      <c r="G56" s="7" t="s">
        <v>54</v>
      </c>
      <c r="H56" s="10" t="s">
        <v>328</v>
      </c>
      <c r="I56" s="7" t="s">
        <v>309</v>
      </c>
      <c r="J56" s="7"/>
      <c r="K56" s="7" t="n">
        <v>13</v>
      </c>
      <c r="L56" s="10" t="s">
        <v>73</v>
      </c>
      <c r="M56" s="10" t="s">
        <v>58</v>
      </c>
    </row>
    <row r="57" customFormat="false" ht="45.75" hidden="false" customHeight="true" outlineLevel="0" collapsed="false">
      <c r="A57" s="12" t="s">
        <v>333</v>
      </c>
      <c r="B57" s="12" t="s">
        <v>309</v>
      </c>
      <c r="C57" s="13" t="s">
        <v>334</v>
      </c>
      <c r="D57" s="13" t="s">
        <v>335</v>
      </c>
      <c r="E57" s="13" t="s">
        <v>336</v>
      </c>
      <c r="F57" s="14" t="s">
        <v>53</v>
      </c>
      <c r="G57" s="12" t="s">
        <v>54</v>
      </c>
      <c r="H57" s="15" t="s">
        <v>328</v>
      </c>
      <c r="I57" s="12" t="s">
        <v>309</v>
      </c>
      <c r="J57" s="12"/>
      <c r="K57" s="12" t="n">
        <v>8</v>
      </c>
      <c r="L57" s="15" t="s">
        <v>64</v>
      </c>
      <c r="M57" s="15" t="s">
        <v>58</v>
      </c>
    </row>
    <row r="58" customFormat="false" ht="45.75" hidden="false" customHeight="true" outlineLevel="0" collapsed="false">
      <c r="A58" s="7" t="s">
        <v>337</v>
      </c>
      <c r="B58" s="7" t="s">
        <v>309</v>
      </c>
      <c r="C58" s="8" t="s">
        <v>338</v>
      </c>
      <c r="D58" s="8" t="s">
        <v>339</v>
      </c>
      <c r="E58" s="8" t="s">
        <v>340</v>
      </c>
      <c r="F58" s="9" t="s">
        <v>53</v>
      </c>
      <c r="G58" s="7" t="s">
        <v>54</v>
      </c>
      <c r="H58" s="10" t="s">
        <v>341</v>
      </c>
      <c r="I58" s="7" t="s">
        <v>309</v>
      </c>
      <c r="J58" s="7"/>
      <c r="K58" s="7" t="n">
        <v>3</v>
      </c>
      <c r="L58" s="10" t="s">
        <v>64</v>
      </c>
      <c r="M58" s="10" t="s">
        <v>58</v>
      </c>
    </row>
    <row r="59" customFormat="false" ht="45.75" hidden="false" customHeight="true" outlineLevel="0" collapsed="false">
      <c r="A59" s="12" t="s">
        <v>342</v>
      </c>
      <c r="B59" s="12" t="s">
        <v>309</v>
      </c>
      <c r="C59" s="13" t="s">
        <v>343</v>
      </c>
      <c r="D59" s="13" t="s">
        <v>344</v>
      </c>
      <c r="E59" s="13" t="s">
        <v>345</v>
      </c>
      <c r="F59" s="14" t="s">
        <v>53</v>
      </c>
      <c r="G59" s="12" t="s">
        <v>54</v>
      </c>
      <c r="H59" s="15" t="s">
        <v>346</v>
      </c>
      <c r="I59" s="12" t="s">
        <v>309</v>
      </c>
      <c r="J59" s="12"/>
      <c r="K59" s="12" t="n">
        <v>8</v>
      </c>
      <c r="L59" s="15" t="s">
        <v>64</v>
      </c>
      <c r="M59" s="15" t="s">
        <v>58</v>
      </c>
    </row>
    <row r="60" customFormat="false" ht="45.75" hidden="false" customHeight="true" outlineLevel="0" collapsed="false">
      <c r="A60" s="7" t="s">
        <v>347</v>
      </c>
      <c r="B60" s="7" t="s">
        <v>348</v>
      </c>
      <c r="C60" s="8" t="s">
        <v>349</v>
      </c>
      <c r="D60" s="8" t="s">
        <v>350</v>
      </c>
      <c r="E60" s="8" t="s">
        <v>351</v>
      </c>
      <c r="F60" s="9" t="s">
        <v>53</v>
      </c>
      <c r="G60" s="7" t="s">
        <v>54</v>
      </c>
      <c r="H60" s="10" t="s">
        <v>352</v>
      </c>
      <c r="I60" s="7" t="s">
        <v>309</v>
      </c>
      <c r="J60" s="7"/>
      <c r="K60" s="7" t="n">
        <v>8</v>
      </c>
      <c r="L60" s="10" t="s">
        <v>73</v>
      </c>
      <c r="M60" s="10" t="s">
        <v>58</v>
      </c>
    </row>
    <row r="61" customFormat="false" ht="45.75" hidden="false" customHeight="true" outlineLevel="0" collapsed="false">
      <c r="A61" s="12" t="s">
        <v>353</v>
      </c>
      <c r="B61" s="12" t="s">
        <v>348</v>
      </c>
      <c r="C61" s="13" t="s">
        <v>354</v>
      </c>
      <c r="D61" s="13" t="s">
        <v>355</v>
      </c>
      <c r="E61" s="13" t="s">
        <v>356</v>
      </c>
      <c r="F61" s="14" t="s">
        <v>53</v>
      </c>
      <c r="G61" s="12" t="s">
        <v>54</v>
      </c>
      <c r="H61" s="15" t="s">
        <v>357</v>
      </c>
      <c r="I61" s="12" t="s">
        <v>309</v>
      </c>
      <c r="J61" s="12"/>
      <c r="K61" s="12" t="n">
        <v>8</v>
      </c>
      <c r="L61" s="15" t="s">
        <v>73</v>
      </c>
      <c r="M61" s="15" t="s">
        <v>58</v>
      </c>
    </row>
    <row r="62" customFormat="false" ht="45.75" hidden="false" customHeight="true" outlineLevel="0" collapsed="false">
      <c r="A62" s="7" t="s">
        <v>358</v>
      </c>
      <c r="B62" s="7" t="s">
        <v>348</v>
      </c>
      <c r="C62" s="8" t="s">
        <v>359</v>
      </c>
      <c r="D62" s="8" t="s">
        <v>360</v>
      </c>
      <c r="E62" s="8" t="s">
        <v>361</v>
      </c>
      <c r="F62" s="9" t="s">
        <v>53</v>
      </c>
      <c r="G62" s="7" t="s">
        <v>54</v>
      </c>
      <c r="H62" s="10" t="s">
        <v>362</v>
      </c>
      <c r="I62" s="7" t="s">
        <v>309</v>
      </c>
      <c r="J62" s="7"/>
      <c r="K62" s="7" t="n">
        <v>8</v>
      </c>
      <c r="L62" s="10" t="s">
        <v>73</v>
      </c>
      <c r="M62" s="10" t="s">
        <v>58</v>
      </c>
    </row>
    <row r="63" customFormat="false" ht="45.75" hidden="false" customHeight="true" outlineLevel="0" collapsed="false">
      <c r="A63" s="12" t="s">
        <v>363</v>
      </c>
      <c r="B63" s="12" t="s">
        <v>348</v>
      </c>
      <c r="C63" s="13" t="s">
        <v>364</v>
      </c>
      <c r="D63" s="13" t="s">
        <v>365</v>
      </c>
      <c r="E63" s="13" t="s">
        <v>366</v>
      </c>
      <c r="F63" s="14" t="s">
        <v>53</v>
      </c>
      <c r="G63" s="12" t="s">
        <v>54</v>
      </c>
      <c r="H63" s="15" t="s">
        <v>367</v>
      </c>
      <c r="I63" s="12" t="s">
        <v>309</v>
      </c>
      <c r="J63" s="16" t="s">
        <v>368</v>
      </c>
      <c r="K63" s="12" t="n">
        <v>13</v>
      </c>
      <c r="L63" s="15" t="s">
        <v>73</v>
      </c>
      <c r="M63" s="15" t="s">
        <v>58</v>
      </c>
    </row>
    <row r="64" customFormat="false" ht="45.75" hidden="false" customHeight="true" outlineLevel="0" collapsed="false">
      <c r="A64" s="7" t="s">
        <v>369</v>
      </c>
      <c r="B64" s="7" t="s">
        <v>348</v>
      </c>
      <c r="C64" s="8" t="s">
        <v>370</v>
      </c>
      <c r="D64" s="8" t="s">
        <v>371</v>
      </c>
      <c r="E64" s="8" t="s">
        <v>372</v>
      </c>
      <c r="F64" s="9" t="s">
        <v>53</v>
      </c>
      <c r="G64" s="7" t="s">
        <v>54</v>
      </c>
      <c r="H64" s="10" t="s">
        <v>357</v>
      </c>
      <c r="I64" s="7" t="s">
        <v>348</v>
      </c>
      <c r="J64" s="11" t="s">
        <v>368</v>
      </c>
      <c r="K64" s="7" t="n">
        <v>8</v>
      </c>
      <c r="L64" s="10" t="s">
        <v>73</v>
      </c>
      <c r="M64" s="10" t="s">
        <v>58</v>
      </c>
    </row>
    <row r="65" customFormat="false" ht="45.75" hidden="false" customHeight="true" outlineLevel="0" collapsed="false">
      <c r="A65" s="12" t="s">
        <v>373</v>
      </c>
      <c r="B65" s="12" t="s">
        <v>348</v>
      </c>
      <c r="C65" s="13" t="s">
        <v>374</v>
      </c>
      <c r="D65" s="13" t="s">
        <v>375</v>
      </c>
      <c r="E65" s="13" t="s">
        <v>376</v>
      </c>
      <c r="F65" s="14" t="s">
        <v>53</v>
      </c>
      <c r="G65" s="12" t="s">
        <v>54</v>
      </c>
      <c r="H65" s="15" t="s">
        <v>323</v>
      </c>
      <c r="I65" s="12" t="s">
        <v>348</v>
      </c>
      <c r="J65" s="12"/>
      <c r="K65" s="12" t="n">
        <v>3</v>
      </c>
      <c r="L65" s="15" t="s">
        <v>182</v>
      </c>
      <c r="M65" s="15" t="s">
        <v>58</v>
      </c>
    </row>
    <row r="66" customFormat="false" ht="45.75" hidden="false" customHeight="true" outlineLevel="0" collapsed="false">
      <c r="A66" s="7" t="s">
        <v>377</v>
      </c>
      <c r="B66" s="7" t="s">
        <v>348</v>
      </c>
      <c r="C66" s="8" t="s">
        <v>378</v>
      </c>
      <c r="D66" s="8" t="s">
        <v>379</v>
      </c>
      <c r="E66" s="8" t="s">
        <v>380</v>
      </c>
      <c r="F66" s="9" t="s">
        <v>53</v>
      </c>
      <c r="G66" s="7" t="s">
        <v>54</v>
      </c>
      <c r="H66" s="10" t="s">
        <v>381</v>
      </c>
      <c r="I66" s="7" t="s">
        <v>309</v>
      </c>
      <c r="J66" s="7"/>
      <c r="K66" s="7" t="n">
        <v>13</v>
      </c>
      <c r="L66" s="10" t="s">
        <v>73</v>
      </c>
      <c r="M66" s="10" t="s">
        <v>58</v>
      </c>
    </row>
    <row r="67" customFormat="false" ht="45.75" hidden="false" customHeight="true" outlineLevel="0" collapsed="false">
      <c r="A67" s="12" t="s">
        <v>382</v>
      </c>
      <c r="B67" s="12" t="s">
        <v>348</v>
      </c>
      <c r="C67" s="13" t="s">
        <v>383</v>
      </c>
      <c r="D67" s="13" t="s">
        <v>384</v>
      </c>
      <c r="E67" s="13" t="s">
        <v>385</v>
      </c>
      <c r="F67" s="14" t="s">
        <v>53</v>
      </c>
      <c r="G67" s="12" t="s">
        <v>54</v>
      </c>
      <c r="H67" s="15" t="s">
        <v>386</v>
      </c>
      <c r="I67" s="12" t="s">
        <v>348</v>
      </c>
      <c r="J67" s="16" t="s">
        <v>368</v>
      </c>
      <c r="K67" s="12" t="n">
        <v>13</v>
      </c>
      <c r="L67" s="15" t="s">
        <v>73</v>
      </c>
      <c r="M67" s="15" t="s">
        <v>58</v>
      </c>
    </row>
    <row r="68" customFormat="false" ht="45.75" hidden="false" customHeight="true" outlineLevel="0" collapsed="false">
      <c r="A68" s="7" t="s">
        <v>387</v>
      </c>
      <c r="B68" s="7" t="s">
        <v>348</v>
      </c>
      <c r="C68" s="8" t="s">
        <v>388</v>
      </c>
      <c r="D68" s="8" t="s">
        <v>389</v>
      </c>
      <c r="E68" s="8" t="s">
        <v>390</v>
      </c>
      <c r="F68" s="9" t="s">
        <v>53</v>
      </c>
      <c r="G68" s="7" t="s">
        <v>54</v>
      </c>
      <c r="H68" s="10" t="s">
        <v>386</v>
      </c>
      <c r="I68" s="7" t="s">
        <v>348</v>
      </c>
      <c r="J68" s="7"/>
      <c r="K68" s="7" t="n">
        <v>8</v>
      </c>
      <c r="L68" s="10" t="s">
        <v>73</v>
      </c>
      <c r="M68" s="10" t="s">
        <v>58</v>
      </c>
    </row>
    <row r="69" customFormat="false" ht="45.75" hidden="false" customHeight="true" outlineLevel="0" collapsed="false">
      <c r="A69" s="12" t="s">
        <v>391</v>
      </c>
      <c r="B69" s="12" t="s">
        <v>172</v>
      </c>
      <c r="C69" s="13" t="s">
        <v>392</v>
      </c>
      <c r="D69" s="13" t="s">
        <v>393</v>
      </c>
      <c r="E69" s="13" t="s">
        <v>394</v>
      </c>
      <c r="F69" s="14" t="s">
        <v>53</v>
      </c>
      <c r="G69" s="12" t="s">
        <v>54</v>
      </c>
      <c r="H69" s="15" t="s">
        <v>395</v>
      </c>
      <c r="I69" s="12" t="s">
        <v>309</v>
      </c>
      <c r="J69" s="12"/>
      <c r="K69" s="12" t="n">
        <v>8</v>
      </c>
      <c r="L69" s="15" t="s">
        <v>64</v>
      </c>
      <c r="M69" s="15" t="s">
        <v>58</v>
      </c>
    </row>
    <row r="70" customFormat="false" ht="45.75" hidden="false" customHeight="true" outlineLevel="0" collapsed="false">
      <c r="A70" s="7" t="s">
        <v>396</v>
      </c>
      <c r="B70" s="7" t="s">
        <v>172</v>
      </c>
      <c r="C70" s="8" t="s">
        <v>397</v>
      </c>
      <c r="D70" s="8" t="s">
        <v>398</v>
      </c>
      <c r="E70" s="8" t="s">
        <v>399</v>
      </c>
      <c r="F70" s="9" t="s">
        <v>53</v>
      </c>
      <c r="G70" s="7" t="s">
        <v>54</v>
      </c>
      <c r="H70" s="10" t="s">
        <v>400</v>
      </c>
      <c r="I70" s="7" t="s">
        <v>172</v>
      </c>
      <c r="J70" s="7"/>
      <c r="K70" s="7" t="n">
        <v>13</v>
      </c>
      <c r="L70" s="10" t="s">
        <v>64</v>
      </c>
      <c r="M70" s="10" t="s">
        <v>58</v>
      </c>
    </row>
    <row r="71" customFormat="false" ht="45.75" hidden="false" customHeight="true" outlineLevel="0" collapsed="false">
      <c r="A71" s="12" t="s">
        <v>401</v>
      </c>
      <c r="B71" s="12" t="s">
        <v>172</v>
      </c>
      <c r="C71" s="13" t="s">
        <v>402</v>
      </c>
      <c r="D71" s="13" t="s">
        <v>403</v>
      </c>
      <c r="E71" s="13" t="s">
        <v>404</v>
      </c>
      <c r="F71" s="14" t="s">
        <v>53</v>
      </c>
      <c r="G71" s="12" t="s">
        <v>54</v>
      </c>
      <c r="H71" s="15" t="s">
        <v>405</v>
      </c>
      <c r="I71" s="12" t="s">
        <v>309</v>
      </c>
      <c r="J71" s="12"/>
      <c r="K71" s="12" t="n">
        <v>5</v>
      </c>
      <c r="L71" s="15" t="s">
        <v>64</v>
      </c>
      <c r="M71" s="15" t="s">
        <v>58</v>
      </c>
    </row>
    <row r="72" customFormat="false" ht="45.75" hidden="false" customHeight="true" outlineLevel="0" collapsed="false">
      <c r="A72" s="7" t="s">
        <v>406</v>
      </c>
      <c r="B72" s="7" t="s">
        <v>172</v>
      </c>
      <c r="C72" s="8" t="s">
        <v>407</v>
      </c>
      <c r="D72" s="8" t="s">
        <v>408</v>
      </c>
      <c r="E72" s="8" t="s">
        <v>409</v>
      </c>
      <c r="F72" s="9" t="s">
        <v>53</v>
      </c>
      <c r="G72" s="7" t="s">
        <v>54</v>
      </c>
      <c r="H72" s="10" t="s">
        <v>395</v>
      </c>
      <c r="I72" s="7" t="s">
        <v>410</v>
      </c>
      <c r="J72" s="7"/>
      <c r="K72" s="7" t="n">
        <v>8</v>
      </c>
      <c r="L72" s="10" t="s">
        <v>64</v>
      </c>
      <c r="M72" s="10" t="s">
        <v>58</v>
      </c>
    </row>
    <row r="73" customFormat="false" ht="45.75" hidden="false" customHeight="true" outlineLevel="0" collapsed="false">
      <c r="A73" s="12" t="s">
        <v>411</v>
      </c>
      <c r="B73" s="12" t="s">
        <v>172</v>
      </c>
      <c r="C73" s="13" t="s">
        <v>412</v>
      </c>
      <c r="D73" s="13" t="s">
        <v>413</v>
      </c>
      <c r="E73" s="13" t="s">
        <v>414</v>
      </c>
      <c r="F73" s="14" t="s">
        <v>53</v>
      </c>
      <c r="G73" s="12" t="s">
        <v>54</v>
      </c>
      <c r="H73" s="15" t="s">
        <v>395</v>
      </c>
      <c r="I73" s="12" t="s">
        <v>172</v>
      </c>
      <c r="J73" s="12"/>
      <c r="K73" s="12" t="n">
        <v>5</v>
      </c>
      <c r="L73" s="15" t="s">
        <v>64</v>
      </c>
      <c r="M73" s="15" t="s">
        <v>58</v>
      </c>
    </row>
    <row r="74" customFormat="false" ht="45.75" hidden="false" customHeight="true" outlineLevel="0" collapsed="false">
      <c r="A74" s="7" t="s">
        <v>415</v>
      </c>
      <c r="B74" s="7" t="s">
        <v>172</v>
      </c>
      <c r="C74" s="8" t="s">
        <v>416</v>
      </c>
      <c r="D74" s="8" t="s">
        <v>417</v>
      </c>
      <c r="E74" s="8" t="s">
        <v>418</v>
      </c>
      <c r="F74" s="9" t="s">
        <v>53</v>
      </c>
      <c r="G74" s="7" t="s">
        <v>54</v>
      </c>
      <c r="H74" s="10" t="s">
        <v>405</v>
      </c>
      <c r="I74" s="7" t="s">
        <v>172</v>
      </c>
      <c r="J74" s="7"/>
      <c r="K74" s="7" t="n">
        <v>3</v>
      </c>
      <c r="L74" s="10" t="s">
        <v>64</v>
      </c>
      <c r="M74" s="10" t="s">
        <v>58</v>
      </c>
    </row>
    <row r="75" customFormat="false" ht="45.75" hidden="false" customHeight="true" outlineLevel="0" collapsed="false">
      <c r="A75" s="12" t="s">
        <v>419</v>
      </c>
      <c r="B75" s="12" t="s">
        <v>172</v>
      </c>
      <c r="C75" s="13" t="s">
        <v>420</v>
      </c>
      <c r="D75" s="13" t="s">
        <v>421</v>
      </c>
      <c r="E75" s="13" t="s">
        <v>422</v>
      </c>
      <c r="F75" s="14" t="s">
        <v>53</v>
      </c>
      <c r="G75" s="12" t="s">
        <v>54</v>
      </c>
      <c r="H75" s="15" t="s">
        <v>423</v>
      </c>
      <c r="I75" s="12" t="s">
        <v>172</v>
      </c>
      <c r="J75" s="12"/>
      <c r="K75" s="12" t="n">
        <v>5</v>
      </c>
      <c r="L75" s="15" t="s">
        <v>64</v>
      </c>
      <c r="M75" s="15" t="s">
        <v>58</v>
      </c>
    </row>
    <row r="76" customFormat="false" ht="45.75" hidden="false" customHeight="true" outlineLevel="0" collapsed="false">
      <c r="A76" s="7" t="s">
        <v>424</v>
      </c>
      <c r="B76" s="7" t="s">
        <v>172</v>
      </c>
      <c r="C76" s="8" t="s">
        <v>425</v>
      </c>
      <c r="D76" s="8" t="s">
        <v>426</v>
      </c>
      <c r="E76" s="8" t="s">
        <v>427</v>
      </c>
      <c r="F76" s="9" t="s">
        <v>53</v>
      </c>
      <c r="G76" s="7" t="s">
        <v>54</v>
      </c>
      <c r="H76" s="10" t="s">
        <v>428</v>
      </c>
      <c r="I76" s="7" t="s">
        <v>348</v>
      </c>
      <c r="J76" s="7"/>
      <c r="K76" s="7" t="n">
        <v>8</v>
      </c>
      <c r="L76" s="10" t="s">
        <v>64</v>
      </c>
      <c r="M76" s="10" t="s">
        <v>58</v>
      </c>
    </row>
    <row r="77" customFormat="false" ht="45.75" hidden="false" customHeight="true" outlineLevel="0" collapsed="false">
      <c r="A77" s="12" t="s">
        <v>429</v>
      </c>
      <c r="B77" s="12" t="s">
        <v>410</v>
      </c>
      <c r="C77" s="13" t="s">
        <v>430</v>
      </c>
      <c r="D77" s="13" t="s">
        <v>431</v>
      </c>
      <c r="E77" s="13" t="s">
        <v>432</v>
      </c>
      <c r="F77" s="14" t="s">
        <v>53</v>
      </c>
      <c r="G77" s="12" t="s">
        <v>54</v>
      </c>
      <c r="H77" s="15" t="s">
        <v>433</v>
      </c>
      <c r="I77" s="12" t="s">
        <v>49</v>
      </c>
      <c r="J77" s="12"/>
      <c r="K77" s="12" t="n">
        <v>13</v>
      </c>
      <c r="L77" s="15" t="s">
        <v>84</v>
      </c>
      <c r="M77" s="15" t="s">
        <v>58</v>
      </c>
    </row>
    <row r="78" customFormat="false" ht="45.75" hidden="false" customHeight="true" outlineLevel="0" collapsed="false">
      <c r="A78" s="7" t="s">
        <v>434</v>
      </c>
      <c r="B78" s="7" t="s">
        <v>410</v>
      </c>
      <c r="C78" s="8" t="s">
        <v>435</v>
      </c>
      <c r="D78" s="8" t="s">
        <v>436</v>
      </c>
      <c r="E78" s="8" t="s">
        <v>437</v>
      </c>
      <c r="F78" s="9" t="s">
        <v>53</v>
      </c>
      <c r="G78" s="7" t="s">
        <v>54</v>
      </c>
      <c r="H78" s="10" t="s">
        <v>438</v>
      </c>
      <c r="I78" s="7" t="s">
        <v>49</v>
      </c>
      <c r="J78" s="7"/>
      <c r="K78" s="7" t="n">
        <v>8</v>
      </c>
      <c r="L78" s="10" t="s">
        <v>84</v>
      </c>
      <c r="M78" s="10" t="s">
        <v>58</v>
      </c>
    </row>
    <row r="79" customFormat="false" ht="45.75" hidden="false" customHeight="true" outlineLevel="0" collapsed="false">
      <c r="A79" s="12" t="s">
        <v>439</v>
      </c>
      <c r="B79" s="12" t="s">
        <v>410</v>
      </c>
      <c r="C79" s="13" t="s">
        <v>440</v>
      </c>
      <c r="D79" s="13" t="s">
        <v>441</v>
      </c>
      <c r="E79" s="13" t="s">
        <v>442</v>
      </c>
      <c r="F79" s="14" t="s">
        <v>53</v>
      </c>
      <c r="G79" s="12" t="s">
        <v>54</v>
      </c>
      <c r="H79" s="15" t="s">
        <v>443</v>
      </c>
      <c r="I79" s="12" t="s">
        <v>410</v>
      </c>
      <c r="J79" s="12"/>
      <c r="K79" s="12" t="n">
        <v>8</v>
      </c>
      <c r="L79" s="15" t="s">
        <v>64</v>
      </c>
      <c r="M79" s="15" t="s">
        <v>58</v>
      </c>
    </row>
    <row r="80" customFormat="false" ht="45.75" hidden="false" customHeight="true" outlineLevel="0" collapsed="false">
      <c r="A80" s="7" t="s">
        <v>444</v>
      </c>
      <c r="B80" s="7" t="s">
        <v>410</v>
      </c>
      <c r="C80" s="8" t="s">
        <v>445</v>
      </c>
      <c r="D80" s="8" t="s">
        <v>446</v>
      </c>
      <c r="E80" s="8" t="s">
        <v>447</v>
      </c>
      <c r="F80" s="9" t="s">
        <v>53</v>
      </c>
      <c r="G80" s="7" t="s">
        <v>54</v>
      </c>
      <c r="H80" s="10" t="s">
        <v>448</v>
      </c>
      <c r="I80" s="7" t="s">
        <v>410</v>
      </c>
      <c r="J80" s="7"/>
      <c r="K80" s="7" t="n">
        <v>13</v>
      </c>
      <c r="L80" s="10" t="s">
        <v>64</v>
      </c>
      <c r="M80" s="10" t="s">
        <v>58</v>
      </c>
    </row>
    <row r="81" customFormat="false" ht="45.75" hidden="false" customHeight="true" outlineLevel="0" collapsed="false">
      <c r="A81" s="12" t="s">
        <v>449</v>
      </c>
      <c r="B81" s="12" t="s">
        <v>410</v>
      </c>
      <c r="C81" s="13" t="s">
        <v>450</v>
      </c>
      <c r="D81" s="13" t="s">
        <v>451</v>
      </c>
      <c r="E81" s="13" t="s">
        <v>452</v>
      </c>
      <c r="F81" s="14" t="s">
        <v>53</v>
      </c>
      <c r="G81" s="12" t="s">
        <v>54</v>
      </c>
      <c r="H81" s="15" t="s">
        <v>453</v>
      </c>
      <c r="I81" s="12" t="s">
        <v>410</v>
      </c>
      <c r="J81" s="12"/>
      <c r="K81" s="12" t="n">
        <v>13</v>
      </c>
      <c r="L81" s="15" t="s">
        <v>64</v>
      </c>
      <c r="M81" s="15" t="s">
        <v>58</v>
      </c>
    </row>
    <row r="82" customFormat="false" ht="45.75" hidden="false" customHeight="true" outlineLevel="0" collapsed="false">
      <c r="A82" s="7" t="s">
        <v>454</v>
      </c>
      <c r="B82" s="7" t="s">
        <v>410</v>
      </c>
      <c r="C82" s="8" t="s">
        <v>455</v>
      </c>
      <c r="D82" s="8" t="s">
        <v>456</v>
      </c>
      <c r="E82" s="8" t="s">
        <v>457</v>
      </c>
      <c r="F82" s="9" t="s">
        <v>53</v>
      </c>
      <c r="G82" s="7" t="s">
        <v>54</v>
      </c>
      <c r="H82" s="10" t="s">
        <v>458</v>
      </c>
      <c r="I82" s="7" t="s">
        <v>410</v>
      </c>
      <c r="J82" s="7"/>
      <c r="K82" s="7" t="n">
        <v>13</v>
      </c>
      <c r="L82" s="10" t="s">
        <v>64</v>
      </c>
      <c r="M82" s="10" t="s">
        <v>58</v>
      </c>
    </row>
    <row r="83" customFormat="false" ht="45.75" hidden="false" customHeight="true" outlineLevel="0" collapsed="false">
      <c r="A83" s="12" t="s">
        <v>459</v>
      </c>
      <c r="B83" s="12" t="s">
        <v>410</v>
      </c>
      <c r="C83" s="13" t="s">
        <v>460</v>
      </c>
      <c r="D83" s="13" t="s">
        <v>461</v>
      </c>
      <c r="E83" s="13" t="s">
        <v>462</v>
      </c>
      <c r="F83" s="14" t="s">
        <v>53</v>
      </c>
      <c r="G83" s="12" t="s">
        <v>54</v>
      </c>
      <c r="H83" s="15" t="s">
        <v>463</v>
      </c>
      <c r="I83" s="12" t="s">
        <v>410</v>
      </c>
      <c r="J83" s="12"/>
      <c r="K83" s="12" t="n">
        <v>8</v>
      </c>
      <c r="L83" s="15" t="s">
        <v>64</v>
      </c>
      <c r="M83" s="15" t="s">
        <v>58</v>
      </c>
    </row>
    <row r="84" customFormat="false" ht="45.75" hidden="false" customHeight="true" outlineLevel="0" collapsed="false">
      <c r="A84" s="7" t="s">
        <v>464</v>
      </c>
      <c r="B84" s="7" t="s">
        <v>410</v>
      </c>
      <c r="C84" s="8" t="s">
        <v>465</v>
      </c>
      <c r="D84" s="8" t="s">
        <v>466</v>
      </c>
      <c r="E84" s="8" t="s">
        <v>467</v>
      </c>
      <c r="F84" s="9" t="s">
        <v>53</v>
      </c>
      <c r="G84" s="7" t="s">
        <v>54</v>
      </c>
      <c r="H84" s="10" t="s">
        <v>468</v>
      </c>
      <c r="I84" s="7" t="s">
        <v>410</v>
      </c>
      <c r="J84" s="7"/>
      <c r="K84" s="7" t="n">
        <v>5</v>
      </c>
      <c r="L84" s="10" t="s">
        <v>84</v>
      </c>
      <c r="M84" s="10" t="s">
        <v>58</v>
      </c>
    </row>
    <row r="85" customFormat="false" ht="45.75" hidden="false" customHeight="true" outlineLevel="0" collapsed="false">
      <c r="A85" s="12" t="s">
        <v>469</v>
      </c>
      <c r="B85" s="12" t="s">
        <v>410</v>
      </c>
      <c r="C85" s="13" t="s">
        <v>470</v>
      </c>
      <c r="D85" s="13" t="s">
        <v>471</v>
      </c>
      <c r="E85" s="13" t="s">
        <v>472</v>
      </c>
      <c r="F85" s="14" t="s">
        <v>53</v>
      </c>
      <c r="G85" s="12" t="s">
        <v>54</v>
      </c>
      <c r="H85" s="15" t="s">
        <v>473</v>
      </c>
      <c r="I85" s="12" t="s">
        <v>410</v>
      </c>
      <c r="J85" s="16" t="s">
        <v>474</v>
      </c>
      <c r="K85" s="12" t="n">
        <v>8</v>
      </c>
      <c r="L85" s="15" t="s">
        <v>84</v>
      </c>
      <c r="M85" s="15" t="s">
        <v>58</v>
      </c>
    </row>
    <row r="86" customFormat="false" ht="45.75" hidden="false" customHeight="true" outlineLevel="0" collapsed="false">
      <c r="A86" s="7" t="s">
        <v>475</v>
      </c>
      <c r="B86" s="7" t="s">
        <v>410</v>
      </c>
      <c r="C86" s="8" t="s">
        <v>476</v>
      </c>
      <c r="D86" s="8" t="s">
        <v>477</v>
      </c>
      <c r="E86" s="8" t="s">
        <v>478</v>
      </c>
      <c r="F86" s="9" t="s">
        <v>53</v>
      </c>
      <c r="G86" s="7" t="s">
        <v>54</v>
      </c>
      <c r="H86" s="10" t="s">
        <v>479</v>
      </c>
      <c r="I86" s="7" t="s">
        <v>410</v>
      </c>
      <c r="J86" s="7"/>
      <c r="K86" s="7" t="n">
        <v>8</v>
      </c>
      <c r="L86" s="10" t="s">
        <v>64</v>
      </c>
      <c r="M86" s="10" t="s">
        <v>58</v>
      </c>
    </row>
    <row r="87" customFormat="false" ht="45.75" hidden="false" customHeight="true" outlineLevel="0" collapsed="false">
      <c r="A87" s="12" t="s">
        <v>480</v>
      </c>
      <c r="B87" s="12" t="s">
        <v>410</v>
      </c>
      <c r="C87" s="13" t="s">
        <v>481</v>
      </c>
      <c r="D87" s="13" t="s">
        <v>482</v>
      </c>
      <c r="E87" s="13" t="s">
        <v>483</v>
      </c>
      <c r="F87" s="12" t="s">
        <v>484</v>
      </c>
      <c r="G87" s="12" t="s">
        <v>485</v>
      </c>
      <c r="H87" s="15" t="s">
        <v>486</v>
      </c>
      <c r="I87" s="12" t="s">
        <v>100</v>
      </c>
      <c r="J87" s="12"/>
      <c r="K87" s="12" t="n">
        <v>13</v>
      </c>
      <c r="L87" s="15" t="s">
        <v>84</v>
      </c>
      <c r="M87" s="15" t="s">
        <v>58</v>
      </c>
    </row>
    <row r="88" customFormat="false" ht="45.75" hidden="false" customHeight="true" outlineLevel="0" collapsed="false">
      <c r="A88" s="7" t="s">
        <v>487</v>
      </c>
      <c r="B88" s="7" t="s">
        <v>410</v>
      </c>
      <c r="C88" s="8" t="s">
        <v>488</v>
      </c>
      <c r="D88" s="8" t="s">
        <v>489</v>
      </c>
      <c r="E88" s="8" t="s">
        <v>490</v>
      </c>
      <c r="F88" s="7" t="s">
        <v>484</v>
      </c>
      <c r="G88" s="7" t="s">
        <v>485</v>
      </c>
      <c r="H88" s="10" t="s">
        <v>491</v>
      </c>
      <c r="I88" s="7" t="s">
        <v>410</v>
      </c>
      <c r="J88" s="7"/>
      <c r="K88" s="7" t="n">
        <v>8</v>
      </c>
      <c r="L88" s="10" t="s">
        <v>64</v>
      </c>
      <c r="M88" s="10" t="s">
        <v>58</v>
      </c>
    </row>
    <row r="89" customFormat="false" ht="45.75" hidden="false" customHeight="true" outlineLevel="0" collapsed="false">
      <c r="A89" s="12" t="s">
        <v>492</v>
      </c>
      <c r="B89" s="12" t="s">
        <v>288</v>
      </c>
      <c r="C89" s="13" t="s">
        <v>493</v>
      </c>
      <c r="D89" s="13" t="s">
        <v>494</v>
      </c>
      <c r="E89" s="13" t="s">
        <v>495</v>
      </c>
      <c r="F89" s="14" t="s">
        <v>53</v>
      </c>
      <c r="G89" s="12" t="s">
        <v>54</v>
      </c>
      <c r="H89" s="15" t="s">
        <v>496</v>
      </c>
      <c r="I89" s="12" t="s">
        <v>172</v>
      </c>
      <c r="J89" s="12"/>
      <c r="K89" s="12" t="n">
        <v>8</v>
      </c>
      <c r="L89" s="15" t="s">
        <v>64</v>
      </c>
      <c r="M89" s="15" t="s">
        <v>58</v>
      </c>
    </row>
    <row r="90" customFormat="false" ht="45.75" hidden="false" customHeight="true" outlineLevel="0" collapsed="false">
      <c r="A90" s="7" t="s">
        <v>497</v>
      </c>
      <c r="B90" s="7" t="s">
        <v>288</v>
      </c>
      <c r="C90" s="8" t="s">
        <v>498</v>
      </c>
      <c r="D90" s="8" t="s">
        <v>499</v>
      </c>
      <c r="E90" s="8" t="s">
        <v>500</v>
      </c>
      <c r="F90" s="9" t="s">
        <v>53</v>
      </c>
      <c r="G90" s="7" t="s">
        <v>54</v>
      </c>
      <c r="H90" s="10" t="s">
        <v>496</v>
      </c>
      <c r="I90" s="7" t="s">
        <v>348</v>
      </c>
      <c r="J90" s="11" t="s">
        <v>368</v>
      </c>
      <c r="K90" s="7" t="n">
        <v>8</v>
      </c>
      <c r="L90" s="10" t="s">
        <v>64</v>
      </c>
      <c r="M90" s="10" t="s">
        <v>58</v>
      </c>
    </row>
    <row r="91" customFormat="false" ht="45.75" hidden="false" customHeight="true" outlineLevel="0" collapsed="false">
      <c r="A91" s="12" t="s">
        <v>501</v>
      </c>
      <c r="B91" s="12" t="s">
        <v>288</v>
      </c>
      <c r="C91" s="13" t="s">
        <v>502</v>
      </c>
      <c r="D91" s="13" t="s">
        <v>503</v>
      </c>
      <c r="E91" s="13" t="s">
        <v>504</v>
      </c>
      <c r="F91" s="14" t="s">
        <v>53</v>
      </c>
      <c r="G91" s="12" t="s">
        <v>54</v>
      </c>
      <c r="H91" s="15" t="s">
        <v>505</v>
      </c>
      <c r="I91" s="12" t="s">
        <v>348</v>
      </c>
      <c r="J91" s="12"/>
      <c r="K91" s="12" t="n">
        <v>5</v>
      </c>
      <c r="L91" s="15" t="s">
        <v>64</v>
      </c>
      <c r="M91" s="15" t="s">
        <v>58</v>
      </c>
    </row>
    <row r="92" customFormat="false" ht="45.75" hidden="false" customHeight="true" outlineLevel="0" collapsed="false">
      <c r="A92" s="7" t="s">
        <v>506</v>
      </c>
      <c r="B92" s="7" t="s">
        <v>288</v>
      </c>
      <c r="C92" s="8" t="s">
        <v>507</v>
      </c>
      <c r="D92" s="8" t="s">
        <v>508</v>
      </c>
      <c r="E92" s="8" t="s">
        <v>509</v>
      </c>
      <c r="F92" s="9" t="s">
        <v>53</v>
      </c>
      <c r="G92" s="7" t="s">
        <v>54</v>
      </c>
      <c r="H92" s="10" t="s">
        <v>510</v>
      </c>
      <c r="I92" s="7" t="s">
        <v>235</v>
      </c>
      <c r="J92" s="11" t="s">
        <v>368</v>
      </c>
      <c r="K92" s="7" t="n">
        <v>13</v>
      </c>
      <c r="L92" s="10" t="s">
        <v>73</v>
      </c>
      <c r="M92" s="10" t="s">
        <v>58</v>
      </c>
    </row>
    <row r="93" customFormat="false" ht="45.75" hidden="false" customHeight="true" outlineLevel="0" collapsed="false">
      <c r="A93" s="12" t="s">
        <v>511</v>
      </c>
      <c r="B93" s="12" t="s">
        <v>288</v>
      </c>
      <c r="C93" s="13" t="s">
        <v>512</v>
      </c>
      <c r="D93" s="13" t="s">
        <v>513</v>
      </c>
      <c r="E93" s="13" t="s">
        <v>514</v>
      </c>
      <c r="F93" s="14" t="s">
        <v>53</v>
      </c>
      <c r="G93" s="12" t="s">
        <v>54</v>
      </c>
      <c r="H93" s="15" t="s">
        <v>515</v>
      </c>
      <c r="I93" s="12" t="s">
        <v>288</v>
      </c>
      <c r="J93" s="12"/>
      <c r="K93" s="12" t="n">
        <v>5</v>
      </c>
      <c r="L93" s="15" t="s">
        <v>64</v>
      </c>
      <c r="M93" s="15" t="s">
        <v>58</v>
      </c>
    </row>
    <row r="94" customFormat="false" ht="45.75" hidden="false" customHeight="true" outlineLevel="0" collapsed="false">
      <c r="A94" s="7" t="s">
        <v>516</v>
      </c>
      <c r="B94" s="7" t="s">
        <v>288</v>
      </c>
      <c r="C94" s="8" t="s">
        <v>517</v>
      </c>
      <c r="D94" s="8" t="s">
        <v>518</v>
      </c>
      <c r="E94" s="8" t="s">
        <v>519</v>
      </c>
      <c r="F94" s="9" t="s">
        <v>53</v>
      </c>
      <c r="G94" s="7" t="s">
        <v>54</v>
      </c>
      <c r="H94" s="10" t="s">
        <v>520</v>
      </c>
      <c r="I94" s="7" t="s">
        <v>235</v>
      </c>
      <c r="J94" s="7"/>
      <c r="K94" s="7" t="n">
        <v>5</v>
      </c>
      <c r="L94" s="10" t="s">
        <v>64</v>
      </c>
      <c r="M94" s="10" t="s">
        <v>58</v>
      </c>
    </row>
    <row r="95" customFormat="false" ht="45.75" hidden="false" customHeight="true" outlineLevel="0" collapsed="false">
      <c r="A95" s="12" t="s">
        <v>521</v>
      </c>
      <c r="B95" s="12" t="s">
        <v>522</v>
      </c>
      <c r="C95" s="13" t="s">
        <v>523</v>
      </c>
      <c r="D95" s="13" t="s">
        <v>524</v>
      </c>
      <c r="E95" s="13" t="s">
        <v>525</v>
      </c>
      <c r="F95" s="14" t="s">
        <v>53</v>
      </c>
      <c r="G95" s="12" t="s">
        <v>54</v>
      </c>
      <c r="H95" s="15" t="s">
        <v>526</v>
      </c>
      <c r="I95" s="12" t="s">
        <v>151</v>
      </c>
      <c r="J95" s="12"/>
      <c r="K95" s="12" t="n">
        <v>3</v>
      </c>
      <c r="L95" s="15" t="s">
        <v>64</v>
      </c>
      <c r="M95" s="15" t="s">
        <v>58</v>
      </c>
    </row>
    <row r="96" customFormat="false" ht="45.75" hidden="false" customHeight="true" outlineLevel="0" collapsed="false">
      <c r="A96" s="7" t="s">
        <v>527</v>
      </c>
      <c r="B96" s="7" t="s">
        <v>522</v>
      </c>
      <c r="C96" s="8" t="s">
        <v>528</v>
      </c>
      <c r="D96" s="8" t="s">
        <v>529</v>
      </c>
      <c r="E96" s="8" t="s">
        <v>530</v>
      </c>
      <c r="F96" s="9" t="s">
        <v>53</v>
      </c>
      <c r="G96" s="7" t="s">
        <v>54</v>
      </c>
      <c r="H96" s="10" t="s">
        <v>531</v>
      </c>
      <c r="I96" s="7" t="s">
        <v>49</v>
      </c>
      <c r="J96" s="7"/>
      <c r="K96" s="7" t="n">
        <v>8</v>
      </c>
      <c r="L96" s="10" t="s">
        <v>64</v>
      </c>
      <c r="M96" s="10" t="s">
        <v>58</v>
      </c>
    </row>
    <row r="97" customFormat="false" ht="45.75" hidden="false" customHeight="true" outlineLevel="0" collapsed="false">
      <c r="A97" s="12" t="s">
        <v>532</v>
      </c>
      <c r="B97" s="12" t="s">
        <v>522</v>
      </c>
      <c r="C97" s="13" t="s">
        <v>533</v>
      </c>
      <c r="D97" s="13" t="s">
        <v>534</v>
      </c>
      <c r="E97" s="13" t="s">
        <v>535</v>
      </c>
      <c r="F97" s="14" t="s">
        <v>53</v>
      </c>
      <c r="G97" s="12" t="s">
        <v>54</v>
      </c>
      <c r="H97" s="15" t="s">
        <v>536</v>
      </c>
      <c r="I97" s="12" t="s">
        <v>522</v>
      </c>
      <c r="J97" s="16" t="s">
        <v>537</v>
      </c>
      <c r="K97" s="12" t="n">
        <v>13</v>
      </c>
      <c r="L97" s="15" t="s">
        <v>64</v>
      </c>
      <c r="M97" s="15" t="s">
        <v>58</v>
      </c>
    </row>
    <row r="98" customFormat="false" ht="45.75" hidden="false" customHeight="true" outlineLevel="0" collapsed="false">
      <c r="A98" s="7" t="s">
        <v>538</v>
      </c>
      <c r="B98" s="7" t="s">
        <v>522</v>
      </c>
      <c r="C98" s="8" t="s">
        <v>539</v>
      </c>
      <c r="D98" s="8" t="s">
        <v>540</v>
      </c>
      <c r="E98" s="8" t="s">
        <v>541</v>
      </c>
      <c r="F98" s="9" t="s">
        <v>53</v>
      </c>
      <c r="G98" s="7" t="s">
        <v>54</v>
      </c>
      <c r="H98" s="10" t="s">
        <v>542</v>
      </c>
      <c r="I98" s="7" t="s">
        <v>522</v>
      </c>
      <c r="J98" s="7"/>
      <c r="K98" s="7" t="n">
        <v>8</v>
      </c>
      <c r="L98" s="10" t="s">
        <v>64</v>
      </c>
      <c r="M98" s="10" t="s">
        <v>58</v>
      </c>
    </row>
    <row r="99" customFormat="false" ht="45.75" hidden="false" customHeight="true" outlineLevel="0" collapsed="false">
      <c r="A99" s="12" t="s">
        <v>543</v>
      </c>
      <c r="B99" s="12" t="s">
        <v>522</v>
      </c>
      <c r="C99" s="13" t="s">
        <v>544</v>
      </c>
      <c r="D99" s="13" t="s">
        <v>545</v>
      </c>
      <c r="E99" s="13" t="s">
        <v>546</v>
      </c>
      <c r="F99" s="14" t="s">
        <v>53</v>
      </c>
      <c r="G99" s="12" t="s">
        <v>54</v>
      </c>
      <c r="H99" s="15" t="s">
        <v>547</v>
      </c>
      <c r="I99" s="12" t="s">
        <v>146</v>
      </c>
      <c r="J99" s="12"/>
      <c r="K99" s="12" t="n">
        <v>13</v>
      </c>
      <c r="L99" s="15" t="s">
        <v>73</v>
      </c>
      <c r="M99" s="15" t="s">
        <v>58</v>
      </c>
    </row>
    <row r="100" customFormat="false" ht="45.75" hidden="false" customHeight="true" outlineLevel="0" collapsed="false">
      <c r="A100" s="7" t="s">
        <v>548</v>
      </c>
      <c r="B100" s="7" t="s">
        <v>522</v>
      </c>
      <c r="C100" s="8" t="s">
        <v>549</v>
      </c>
      <c r="D100" s="8" t="s">
        <v>550</v>
      </c>
      <c r="E100" s="8" t="s">
        <v>551</v>
      </c>
      <c r="F100" s="7" t="s">
        <v>187</v>
      </c>
      <c r="G100" s="7" t="s">
        <v>193</v>
      </c>
      <c r="H100" s="10" t="s">
        <v>547</v>
      </c>
      <c r="I100" s="7" t="s">
        <v>522</v>
      </c>
      <c r="J100" s="7"/>
      <c r="K100" s="7" t="n">
        <v>8</v>
      </c>
      <c r="L100" s="10" t="s">
        <v>73</v>
      </c>
      <c r="M100" s="10" t="s">
        <v>58</v>
      </c>
    </row>
    <row r="101" customFormat="false" ht="45.75" hidden="false" customHeight="true" outlineLevel="0" collapsed="false">
      <c r="A101" s="12" t="s">
        <v>552</v>
      </c>
      <c r="B101" s="12" t="s">
        <v>522</v>
      </c>
      <c r="C101" s="13" t="s">
        <v>553</v>
      </c>
      <c r="D101" s="13" t="s">
        <v>554</v>
      </c>
      <c r="E101" s="13" t="s">
        <v>555</v>
      </c>
      <c r="F101" s="12" t="s">
        <v>484</v>
      </c>
      <c r="G101" s="12" t="s">
        <v>485</v>
      </c>
      <c r="H101" s="15" t="s">
        <v>556</v>
      </c>
      <c r="I101" s="12" t="s">
        <v>522</v>
      </c>
      <c r="J101" s="16" t="s">
        <v>557</v>
      </c>
      <c r="K101" s="12" t="n">
        <v>5</v>
      </c>
      <c r="L101" s="15" t="s">
        <v>64</v>
      </c>
      <c r="M101" s="15" t="s">
        <v>58</v>
      </c>
    </row>
    <row r="102" customFormat="false" ht="45.75" hidden="false" customHeight="true" outlineLevel="0" collapsed="false">
      <c r="A102" s="7" t="s">
        <v>558</v>
      </c>
      <c r="B102" s="7" t="s">
        <v>559</v>
      </c>
      <c r="C102" s="8" t="s">
        <v>560</v>
      </c>
      <c r="D102" s="8" t="s">
        <v>561</v>
      </c>
      <c r="E102" s="8" t="s">
        <v>562</v>
      </c>
      <c r="F102" s="9" t="s">
        <v>53</v>
      </c>
      <c r="G102" s="7" t="s">
        <v>54</v>
      </c>
      <c r="H102" s="10" t="s">
        <v>563</v>
      </c>
      <c r="I102" s="7" t="s">
        <v>410</v>
      </c>
      <c r="J102" s="7"/>
      <c r="K102" s="7" t="n">
        <v>8</v>
      </c>
      <c r="L102" s="10" t="s">
        <v>64</v>
      </c>
      <c r="M102" s="10" t="s">
        <v>58</v>
      </c>
    </row>
    <row r="103" customFormat="false" ht="45.75" hidden="false" customHeight="true" outlineLevel="0" collapsed="false">
      <c r="A103" s="12" t="s">
        <v>564</v>
      </c>
      <c r="B103" s="12" t="s">
        <v>559</v>
      </c>
      <c r="C103" s="13" t="s">
        <v>565</v>
      </c>
      <c r="D103" s="13" t="s">
        <v>566</v>
      </c>
      <c r="E103" s="13" t="s">
        <v>567</v>
      </c>
      <c r="F103" s="12" t="s">
        <v>187</v>
      </c>
      <c r="G103" s="12" t="s">
        <v>193</v>
      </c>
      <c r="H103" s="15" t="s">
        <v>568</v>
      </c>
      <c r="I103" s="12" t="s">
        <v>569</v>
      </c>
      <c r="J103" s="12"/>
      <c r="K103" s="12" t="n">
        <v>13</v>
      </c>
      <c r="L103" s="15" t="s">
        <v>73</v>
      </c>
      <c r="M103" s="15" t="s">
        <v>58</v>
      </c>
    </row>
    <row r="104" customFormat="false" ht="45.75" hidden="false" customHeight="true" outlineLevel="0" collapsed="false">
      <c r="A104" s="7" t="s">
        <v>570</v>
      </c>
      <c r="B104" s="7" t="s">
        <v>559</v>
      </c>
      <c r="C104" s="8" t="s">
        <v>571</v>
      </c>
      <c r="D104" s="8" t="s">
        <v>572</v>
      </c>
      <c r="E104" s="8" t="s">
        <v>573</v>
      </c>
      <c r="F104" s="7" t="s">
        <v>187</v>
      </c>
      <c r="G104" s="7" t="s">
        <v>193</v>
      </c>
      <c r="H104" s="10" t="s">
        <v>547</v>
      </c>
      <c r="I104" s="7" t="s">
        <v>522</v>
      </c>
      <c r="J104" s="7"/>
      <c r="K104" s="7" t="n">
        <v>5</v>
      </c>
      <c r="L104" s="10" t="s">
        <v>64</v>
      </c>
      <c r="M104" s="10" t="s">
        <v>58</v>
      </c>
    </row>
    <row r="105" customFormat="false" ht="45.75" hidden="false" customHeight="true" outlineLevel="0" collapsed="false">
      <c r="A105" s="12" t="s">
        <v>574</v>
      </c>
      <c r="B105" s="12" t="s">
        <v>575</v>
      </c>
      <c r="C105" s="13" t="s">
        <v>576</v>
      </c>
      <c r="D105" s="13" t="s">
        <v>577</v>
      </c>
      <c r="E105" s="13" t="s">
        <v>578</v>
      </c>
      <c r="F105" s="12" t="s">
        <v>187</v>
      </c>
      <c r="G105" s="12" t="s">
        <v>193</v>
      </c>
      <c r="H105" s="15" t="s">
        <v>579</v>
      </c>
      <c r="I105" s="12" t="s">
        <v>195</v>
      </c>
      <c r="J105" s="12"/>
      <c r="K105" s="12" t="n">
        <v>13</v>
      </c>
      <c r="L105" s="15" t="s">
        <v>84</v>
      </c>
      <c r="M105" s="15" t="s">
        <v>58</v>
      </c>
    </row>
    <row r="106" customFormat="false" ht="45.75" hidden="false" customHeight="true" outlineLevel="0" collapsed="false">
      <c r="A106" s="7" t="s">
        <v>580</v>
      </c>
      <c r="B106" s="7" t="s">
        <v>575</v>
      </c>
      <c r="C106" s="8" t="s">
        <v>581</v>
      </c>
      <c r="D106" s="8" t="s">
        <v>582</v>
      </c>
      <c r="E106" s="8" t="s">
        <v>583</v>
      </c>
      <c r="F106" s="7" t="s">
        <v>187</v>
      </c>
      <c r="G106" s="7" t="s">
        <v>193</v>
      </c>
      <c r="H106" s="10" t="s">
        <v>584</v>
      </c>
      <c r="I106" s="7" t="s">
        <v>575</v>
      </c>
      <c r="J106" s="7"/>
      <c r="K106" s="7" t="n">
        <v>8</v>
      </c>
      <c r="L106" s="10" t="s">
        <v>84</v>
      </c>
      <c r="M106" s="10" t="s">
        <v>58</v>
      </c>
    </row>
    <row r="107" customFormat="false" ht="45.75" hidden="false" customHeight="true" outlineLevel="0" collapsed="false">
      <c r="A107" s="12" t="s">
        <v>585</v>
      </c>
      <c r="B107" s="12" t="s">
        <v>575</v>
      </c>
      <c r="C107" s="13" t="s">
        <v>586</v>
      </c>
      <c r="D107" s="13" t="s">
        <v>587</v>
      </c>
      <c r="E107" s="13" t="s">
        <v>588</v>
      </c>
      <c r="F107" s="12" t="s">
        <v>484</v>
      </c>
      <c r="G107" s="12" t="s">
        <v>193</v>
      </c>
      <c r="H107" s="15" t="s">
        <v>589</v>
      </c>
      <c r="I107" s="12" t="s">
        <v>295</v>
      </c>
      <c r="J107" s="12"/>
      <c r="K107" s="12" t="n">
        <v>8</v>
      </c>
      <c r="L107" s="15" t="s">
        <v>73</v>
      </c>
      <c r="M107" s="15" t="s">
        <v>58</v>
      </c>
    </row>
    <row r="108" customFormat="false" ht="45.75" hidden="false" customHeight="true" outlineLevel="0" collapsed="false">
      <c r="A108" s="7" t="s">
        <v>590</v>
      </c>
      <c r="B108" s="7" t="s">
        <v>575</v>
      </c>
      <c r="C108" s="8" t="s">
        <v>591</v>
      </c>
      <c r="D108" s="8" t="s">
        <v>592</v>
      </c>
      <c r="E108" s="8" t="s">
        <v>593</v>
      </c>
      <c r="F108" s="7" t="s">
        <v>594</v>
      </c>
      <c r="G108" s="7" t="s">
        <v>595</v>
      </c>
      <c r="H108" s="10" t="s">
        <v>596</v>
      </c>
      <c r="I108" s="7" t="s">
        <v>575</v>
      </c>
      <c r="J108" s="7"/>
      <c r="K108" s="7" t="n">
        <v>13</v>
      </c>
      <c r="L108" s="10" t="s">
        <v>84</v>
      </c>
      <c r="M108" s="10" t="s">
        <v>58</v>
      </c>
    </row>
    <row r="109" customFormat="false" ht="45.75" hidden="false" customHeight="true" outlineLevel="0" collapsed="false">
      <c r="A109" s="12" t="s">
        <v>597</v>
      </c>
      <c r="B109" s="12" t="s">
        <v>569</v>
      </c>
      <c r="C109" s="13" t="s">
        <v>598</v>
      </c>
      <c r="D109" s="13" t="s">
        <v>599</v>
      </c>
      <c r="E109" s="13" t="s">
        <v>600</v>
      </c>
      <c r="F109" s="14" t="s">
        <v>53</v>
      </c>
      <c r="G109" s="12" t="s">
        <v>54</v>
      </c>
      <c r="H109" s="15" t="s">
        <v>601</v>
      </c>
      <c r="I109" s="12" t="s">
        <v>288</v>
      </c>
      <c r="J109" s="12"/>
      <c r="K109" s="12" t="n">
        <v>5</v>
      </c>
      <c r="L109" s="15" t="s">
        <v>84</v>
      </c>
      <c r="M109" s="15" t="s">
        <v>58</v>
      </c>
    </row>
    <row r="110" customFormat="false" ht="45.75" hidden="false" customHeight="true" outlineLevel="0" collapsed="false">
      <c r="A110" s="7" t="s">
        <v>602</v>
      </c>
      <c r="B110" s="7" t="s">
        <v>569</v>
      </c>
      <c r="C110" s="8" t="s">
        <v>603</v>
      </c>
      <c r="D110" s="8" t="s">
        <v>604</v>
      </c>
      <c r="E110" s="8" t="s">
        <v>605</v>
      </c>
      <c r="F110" s="9" t="s">
        <v>53</v>
      </c>
      <c r="G110" s="7" t="s">
        <v>54</v>
      </c>
      <c r="H110" s="10" t="s">
        <v>606</v>
      </c>
      <c r="I110" s="7" t="s">
        <v>569</v>
      </c>
      <c r="J110" s="7"/>
      <c r="K110" s="7" t="n">
        <v>8</v>
      </c>
      <c r="L110" s="10" t="s">
        <v>84</v>
      </c>
      <c r="M110" s="10" t="s">
        <v>58</v>
      </c>
    </row>
    <row r="111" customFormat="false" ht="45.75" hidden="false" customHeight="true" outlineLevel="0" collapsed="false">
      <c r="A111" s="12" t="s">
        <v>607</v>
      </c>
      <c r="B111" s="12" t="s">
        <v>569</v>
      </c>
      <c r="C111" s="13" t="s">
        <v>608</v>
      </c>
      <c r="D111" s="13" t="s">
        <v>609</v>
      </c>
      <c r="E111" s="13" t="s">
        <v>610</v>
      </c>
      <c r="F111" s="14" t="s">
        <v>53</v>
      </c>
      <c r="G111" s="12" t="s">
        <v>54</v>
      </c>
      <c r="H111" s="15" t="s">
        <v>611</v>
      </c>
      <c r="I111" s="12" t="s">
        <v>569</v>
      </c>
      <c r="J111" s="12"/>
      <c r="K111" s="12" t="n">
        <v>5</v>
      </c>
      <c r="L111" s="15" t="s">
        <v>84</v>
      </c>
      <c r="M111" s="15" t="s">
        <v>58</v>
      </c>
    </row>
    <row r="112" customFormat="false" ht="45.75" hidden="false" customHeight="true" outlineLevel="0" collapsed="false">
      <c r="A112" s="7" t="s">
        <v>612</v>
      </c>
      <c r="B112" s="7" t="s">
        <v>569</v>
      </c>
      <c r="C112" s="8" t="s">
        <v>613</v>
      </c>
      <c r="D112" s="8" t="s">
        <v>614</v>
      </c>
      <c r="E112" s="8" t="s">
        <v>615</v>
      </c>
      <c r="F112" s="9" t="s">
        <v>53</v>
      </c>
      <c r="G112" s="7" t="s">
        <v>54</v>
      </c>
      <c r="H112" s="10" t="s">
        <v>611</v>
      </c>
      <c r="I112" s="7" t="s">
        <v>569</v>
      </c>
      <c r="J112" s="7"/>
      <c r="K112" s="7" t="n">
        <v>5</v>
      </c>
      <c r="L112" s="10" t="s">
        <v>84</v>
      </c>
      <c r="M112" s="10" t="s">
        <v>58</v>
      </c>
    </row>
    <row r="113" customFormat="false" ht="45.75" hidden="false" customHeight="true" outlineLevel="0" collapsed="false">
      <c r="A113" s="12" t="s">
        <v>616</v>
      </c>
      <c r="B113" s="12" t="s">
        <v>569</v>
      </c>
      <c r="C113" s="13" t="s">
        <v>617</v>
      </c>
      <c r="D113" s="13" t="s">
        <v>618</v>
      </c>
      <c r="E113" s="13" t="s">
        <v>619</v>
      </c>
      <c r="F113" s="12" t="s">
        <v>187</v>
      </c>
      <c r="G113" s="12" t="s">
        <v>193</v>
      </c>
      <c r="H113" s="15" t="s">
        <v>620</v>
      </c>
      <c r="I113" s="12" t="s">
        <v>288</v>
      </c>
      <c r="J113" s="12"/>
      <c r="K113" s="12" t="n">
        <v>13</v>
      </c>
      <c r="L113" s="15" t="s">
        <v>73</v>
      </c>
      <c r="M113" s="15" t="s">
        <v>58</v>
      </c>
    </row>
    <row r="114" customFormat="false" ht="45.75" hidden="false" customHeight="true" outlineLevel="0" collapsed="false">
      <c r="A114" s="7" t="s">
        <v>621</v>
      </c>
      <c r="B114" s="7" t="s">
        <v>569</v>
      </c>
      <c r="C114" s="8" t="s">
        <v>622</v>
      </c>
      <c r="D114" s="8" t="s">
        <v>623</v>
      </c>
      <c r="E114" s="8" t="s">
        <v>624</v>
      </c>
      <c r="F114" s="7" t="s">
        <v>484</v>
      </c>
      <c r="G114" s="7" t="s">
        <v>485</v>
      </c>
      <c r="H114" s="10" t="s">
        <v>625</v>
      </c>
      <c r="I114" s="7" t="s">
        <v>569</v>
      </c>
      <c r="J114" s="7"/>
      <c r="K114" s="7" t="n">
        <v>13</v>
      </c>
      <c r="L114" s="10" t="s">
        <v>84</v>
      </c>
      <c r="M114" s="10" t="s">
        <v>58</v>
      </c>
    </row>
    <row r="115" customFormat="false" ht="45.75" hidden="false" customHeight="true" outlineLevel="0" collapsed="false">
      <c r="A115" s="12" t="s">
        <v>626</v>
      </c>
      <c r="B115" s="12" t="s">
        <v>151</v>
      </c>
      <c r="C115" s="13" t="s">
        <v>627</v>
      </c>
      <c r="D115" s="13" t="s">
        <v>628</v>
      </c>
      <c r="E115" s="13" t="s">
        <v>629</v>
      </c>
      <c r="F115" s="14" t="s">
        <v>53</v>
      </c>
      <c r="G115" s="12" t="s">
        <v>54</v>
      </c>
      <c r="H115" s="15" t="s">
        <v>630</v>
      </c>
      <c r="I115" s="12" t="s">
        <v>49</v>
      </c>
      <c r="J115" s="12"/>
      <c r="K115" s="12" t="n">
        <v>8</v>
      </c>
      <c r="L115" s="15" t="s">
        <v>84</v>
      </c>
      <c r="M115" s="15" t="s">
        <v>58</v>
      </c>
    </row>
    <row r="116" customFormat="false" ht="45.75" hidden="false" customHeight="true" outlineLevel="0" collapsed="false">
      <c r="A116" s="7" t="s">
        <v>631</v>
      </c>
      <c r="B116" s="7" t="s">
        <v>151</v>
      </c>
      <c r="C116" s="8" t="s">
        <v>632</v>
      </c>
      <c r="D116" s="8" t="s">
        <v>633</v>
      </c>
      <c r="E116" s="8" t="s">
        <v>634</v>
      </c>
      <c r="F116" s="9" t="s">
        <v>53</v>
      </c>
      <c r="G116" s="7" t="s">
        <v>54</v>
      </c>
      <c r="H116" s="10" t="s">
        <v>635</v>
      </c>
      <c r="I116" s="7" t="s">
        <v>151</v>
      </c>
      <c r="J116" s="7"/>
      <c r="K116" s="7" t="n">
        <v>13</v>
      </c>
      <c r="L116" s="10" t="s">
        <v>84</v>
      </c>
      <c r="M116" s="10" t="s">
        <v>58</v>
      </c>
    </row>
    <row r="117" customFormat="false" ht="45.75" hidden="false" customHeight="true" outlineLevel="0" collapsed="false">
      <c r="A117" s="12" t="s">
        <v>636</v>
      </c>
      <c r="B117" s="12" t="s">
        <v>151</v>
      </c>
      <c r="C117" s="13" t="s">
        <v>637</v>
      </c>
      <c r="D117" s="13" t="s">
        <v>638</v>
      </c>
      <c r="E117" s="13" t="s">
        <v>639</v>
      </c>
      <c r="F117" s="14" t="s">
        <v>53</v>
      </c>
      <c r="G117" s="12" t="s">
        <v>54</v>
      </c>
      <c r="H117" s="15" t="s">
        <v>640</v>
      </c>
      <c r="I117" s="12" t="s">
        <v>151</v>
      </c>
      <c r="J117" s="16" t="s">
        <v>152</v>
      </c>
      <c r="K117" s="12" t="n">
        <v>13</v>
      </c>
      <c r="L117" s="15" t="s">
        <v>641</v>
      </c>
      <c r="M117" s="15" t="s">
        <v>58</v>
      </c>
    </row>
    <row r="118" customFormat="false" ht="45.75" hidden="false" customHeight="true" outlineLevel="0" collapsed="false">
      <c r="A118" s="7" t="s">
        <v>642</v>
      </c>
      <c r="B118" s="7" t="s">
        <v>151</v>
      </c>
      <c r="C118" s="8" t="s">
        <v>643</v>
      </c>
      <c r="D118" s="8" t="s">
        <v>644</v>
      </c>
      <c r="E118" s="8" t="s">
        <v>645</v>
      </c>
      <c r="F118" s="9" t="s">
        <v>53</v>
      </c>
      <c r="G118" s="7" t="s">
        <v>54</v>
      </c>
      <c r="H118" s="10" t="s">
        <v>204</v>
      </c>
      <c r="I118" s="7" t="s">
        <v>195</v>
      </c>
      <c r="J118" s="7"/>
      <c r="K118" s="7" t="n">
        <v>13</v>
      </c>
      <c r="L118" s="10" t="s">
        <v>641</v>
      </c>
      <c r="M118" s="10" t="s">
        <v>58</v>
      </c>
    </row>
    <row r="119" customFormat="false" ht="45.75" hidden="false" customHeight="true" outlineLevel="0" collapsed="false">
      <c r="A119" s="12" t="s">
        <v>646</v>
      </c>
      <c r="B119" s="12" t="s">
        <v>151</v>
      </c>
      <c r="C119" s="13" t="s">
        <v>647</v>
      </c>
      <c r="D119" s="13" t="s">
        <v>648</v>
      </c>
      <c r="E119" s="13" t="s">
        <v>649</v>
      </c>
      <c r="F119" s="14" t="s">
        <v>53</v>
      </c>
      <c r="G119" s="12" t="s">
        <v>54</v>
      </c>
      <c r="H119" s="15" t="s">
        <v>650</v>
      </c>
      <c r="I119" s="12" t="s">
        <v>151</v>
      </c>
      <c r="J119" s="12"/>
      <c r="K119" s="12" t="n">
        <v>13</v>
      </c>
      <c r="L119" s="15" t="s">
        <v>641</v>
      </c>
      <c r="M119" s="15" t="s">
        <v>58</v>
      </c>
    </row>
    <row r="120" customFormat="false" ht="45.75" hidden="false" customHeight="true" outlineLevel="0" collapsed="false">
      <c r="A120" s="7" t="s">
        <v>651</v>
      </c>
      <c r="B120" s="7" t="s">
        <v>151</v>
      </c>
      <c r="C120" s="8" t="s">
        <v>652</v>
      </c>
      <c r="D120" s="8" t="s">
        <v>653</v>
      </c>
      <c r="E120" s="8" t="s">
        <v>654</v>
      </c>
      <c r="F120" s="7" t="s">
        <v>187</v>
      </c>
      <c r="G120" s="7" t="s">
        <v>193</v>
      </c>
      <c r="H120" s="10" t="s">
        <v>655</v>
      </c>
      <c r="I120" s="7" t="s">
        <v>151</v>
      </c>
      <c r="J120" s="7"/>
      <c r="K120" s="7" t="n">
        <v>8</v>
      </c>
      <c r="L120" s="10" t="s">
        <v>84</v>
      </c>
      <c r="M120" s="10" t="s">
        <v>58</v>
      </c>
    </row>
    <row r="121" customFormat="false" ht="45.75" hidden="false" customHeight="true" outlineLevel="0" collapsed="false">
      <c r="A121" s="12" t="s">
        <v>656</v>
      </c>
      <c r="B121" s="12" t="s">
        <v>657</v>
      </c>
      <c r="C121" s="13" t="s">
        <v>658</v>
      </c>
      <c r="D121" s="13" t="s">
        <v>659</v>
      </c>
      <c r="E121" s="13" t="s">
        <v>660</v>
      </c>
      <c r="F121" s="14" t="s">
        <v>53</v>
      </c>
      <c r="G121" s="12" t="s">
        <v>54</v>
      </c>
      <c r="H121" s="15" t="s">
        <v>661</v>
      </c>
      <c r="I121" s="12"/>
      <c r="J121" s="12"/>
      <c r="K121" s="12" t="n">
        <v>5</v>
      </c>
      <c r="L121" s="15" t="s">
        <v>182</v>
      </c>
      <c r="M121" s="15" t="s">
        <v>58</v>
      </c>
    </row>
    <row r="122" customFormat="false" ht="45.75" hidden="false" customHeight="true" outlineLevel="0" collapsed="false">
      <c r="A122" s="7" t="s">
        <v>662</v>
      </c>
      <c r="B122" s="7" t="s">
        <v>657</v>
      </c>
      <c r="C122" s="8" t="s">
        <v>663</v>
      </c>
      <c r="D122" s="8" t="s">
        <v>664</v>
      </c>
      <c r="E122" s="8" t="s">
        <v>665</v>
      </c>
      <c r="F122" s="9" t="s">
        <v>53</v>
      </c>
      <c r="G122" s="7" t="s">
        <v>54</v>
      </c>
      <c r="H122" s="10" t="s">
        <v>666</v>
      </c>
      <c r="I122" s="7" t="s">
        <v>657</v>
      </c>
      <c r="J122" s="7"/>
      <c r="K122" s="7" t="n">
        <v>5</v>
      </c>
      <c r="L122" s="10" t="s">
        <v>213</v>
      </c>
      <c r="M122" s="10" t="s">
        <v>58</v>
      </c>
    </row>
    <row r="123" customFormat="false" ht="45.75" hidden="false" customHeight="true" outlineLevel="0" collapsed="false">
      <c r="A123" s="12" t="s">
        <v>667</v>
      </c>
      <c r="B123" s="12" t="s">
        <v>657</v>
      </c>
      <c r="C123" s="13" t="s">
        <v>668</v>
      </c>
      <c r="D123" s="13" t="s">
        <v>669</v>
      </c>
      <c r="E123" s="13" t="s">
        <v>670</v>
      </c>
      <c r="F123" s="14" t="s">
        <v>53</v>
      </c>
      <c r="G123" s="12" t="s">
        <v>54</v>
      </c>
      <c r="H123" s="15" t="s">
        <v>671</v>
      </c>
      <c r="I123" s="12" t="s">
        <v>657</v>
      </c>
      <c r="J123" s="12"/>
      <c r="K123" s="12" t="n">
        <v>8</v>
      </c>
      <c r="L123" s="15" t="s">
        <v>64</v>
      </c>
      <c r="M123" s="15" t="s">
        <v>58</v>
      </c>
    </row>
    <row r="124" customFormat="false" ht="45.75" hidden="false" customHeight="true" outlineLevel="0" collapsed="false">
      <c r="A124" s="7" t="s">
        <v>672</v>
      </c>
      <c r="B124" s="7" t="s">
        <v>657</v>
      </c>
      <c r="C124" s="8" t="s">
        <v>673</v>
      </c>
      <c r="D124" s="8" t="s">
        <v>674</v>
      </c>
      <c r="E124" s="8" t="s">
        <v>675</v>
      </c>
      <c r="F124" s="9" t="s">
        <v>53</v>
      </c>
      <c r="G124" s="7" t="s">
        <v>54</v>
      </c>
      <c r="H124" s="10" t="s">
        <v>676</v>
      </c>
      <c r="I124" s="7" t="s">
        <v>657</v>
      </c>
      <c r="J124" s="7"/>
      <c r="K124" s="7" t="n">
        <v>8</v>
      </c>
      <c r="L124" s="10" t="s">
        <v>64</v>
      </c>
      <c r="M124" s="10" t="s">
        <v>58</v>
      </c>
    </row>
    <row r="125" customFormat="false" ht="45.75" hidden="false" customHeight="true" outlineLevel="0" collapsed="false">
      <c r="A125" s="12" t="s">
        <v>677</v>
      </c>
      <c r="B125" s="12" t="s">
        <v>657</v>
      </c>
      <c r="C125" s="13" t="s">
        <v>678</v>
      </c>
      <c r="D125" s="13" t="s">
        <v>679</v>
      </c>
      <c r="E125" s="13" t="s">
        <v>680</v>
      </c>
      <c r="F125" s="14" t="s">
        <v>53</v>
      </c>
      <c r="G125" s="12" t="s">
        <v>54</v>
      </c>
      <c r="H125" s="15" t="s">
        <v>671</v>
      </c>
      <c r="I125" s="12" t="s">
        <v>657</v>
      </c>
      <c r="J125" s="12"/>
      <c r="K125" s="12" t="n">
        <v>3</v>
      </c>
      <c r="L125" s="15" t="s">
        <v>182</v>
      </c>
      <c r="M125" s="15" t="s">
        <v>58</v>
      </c>
    </row>
    <row r="126" customFormat="false" ht="45.75" hidden="false" customHeight="true" outlineLevel="0" collapsed="false">
      <c r="A126" s="7" t="s">
        <v>681</v>
      </c>
      <c r="B126" s="7" t="s">
        <v>657</v>
      </c>
      <c r="C126" s="8" t="s">
        <v>682</v>
      </c>
      <c r="D126" s="8" t="s">
        <v>683</v>
      </c>
      <c r="E126" s="8" t="s">
        <v>684</v>
      </c>
      <c r="F126" s="9" t="s">
        <v>53</v>
      </c>
      <c r="G126" s="7" t="s">
        <v>54</v>
      </c>
      <c r="H126" s="10" t="s">
        <v>685</v>
      </c>
      <c r="I126" s="7" t="s">
        <v>657</v>
      </c>
      <c r="J126" s="7"/>
      <c r="K126" s="7" t="n">
        <v>5</v>
      </c>
      <c r="L126" s="10" t="s">
        <v>64</v>
      </c>
      <c r="M126" s="10" t="s">
        <v>58</v>
      </c>
    </row>
    <row r="127" customFormat="false" ht="45.75" hidden="false" customHeight="true" outlineLevel="0" collapsed="false">
      <c r="A127" s="12" t="s">
        <v>686</v>
      </c>
      <c r="B127" s="12" t="s">
        <v>657</v>
      </c>
      <c r="C127" s="13" t="s">
        <v>687</v>
      </c>
      <c r="D127" s="13" t="s">
        <v>688</v>
      </c>
      <c r="E127" s="13" t="s">
        <v>689</v>
      </c>
      <c r="F127" s="14" t="s">
        <v>53</v>
      </c>
      <c r="G127" s="12" t="s">
        <v>54</v>
      </c>
      <c r="H127" s="15" t="s">
        <v>690</v>
      </c>
      <c r="I127" s="12" t="s">
        <v>657</v>
      </c>
      <c r="J127" s="12"/>
      <c r="K127" s="12" t="n">
        <v>8</v>
      </c>
      <c r="L127" s="15" t="s">
        <v>64</v>
      </c>
      <c r="M127" s="15" t="s">
        <v>58</v>
      </c>
    </row>
    <row r="128" customFormat="false" ht="45.75" hidden="false" customHeight="true" outlineLevel="0" collapsed="false">
      <c r="A128" s="7" t="s">
        <v>691</v>
      </c>
      <c r="B128" s="7" t="s">
        <v>692</v>
      </c>
      <c r="C128" s="8" t="s">
        <v>693</v>
      </c>
      <c r="D128" s="8" t="s">
        <v>694</v>
      </c>
      <c r="E128" s="8" t="s">
        <v>695</v>
      </c>
      <c r="F128" s="9" t="s">
        <v>53</v>
      </c>
      <c r="G128" s="7" t="s">
        <v>54</v>
      </c>
      <c r="H128" s="10" t="s">
        <v>696</v>
      </c>
      <c r="I128" s="7" t="s">
        <v>146</v>
      </c>
      <c r="J128" s="7"/>
      <c r="K128" s="7" t="n">
        <v>8</v>
      </c>
      <c r="L128" s="10" t="s">
        <v>182</v>
      </c>
      <c r="M128" s="10" t="s">
        <v>58</v>
      </c>
    </row>
    <row r="129" customFormat="false" ht="45.75" hidden="false" customHeight="true" outlineLevel="0" collapsed="false">
      <c r="A129" s="12" t="s">
        <v>697</v>
      </c>
      <c r="B129" s="12" t="s">
        <v>692</v>
      </c>
      <c r="C129" s="13" t="s">
        <v>698</v>
      </c>
      <c r="D129" s="13" t="s">
        <v>699</v>
      </c>
      <c r="E129" s="13" t="s">
        <v>700</v>
      </c>
      <c r="F129" s="14" t="s">
        <v>53</v>
      </c>
      <c r="G129" s="12" t="s">
        <v>54</v>
      </c>
      <c r="H129" s="15" t="s">
        <v>701</v>
      </c>
      <c r="I129" s="12" t="s">
        <v>172</v>
      </c>
      <c r="J129" s="12"/>
      <c r="K129" s="12" t="n">
        <v>8</v>
      </c>
      <c r="L129" s="15" t="s">
        <v>213</v>
      </c>
      <c r="M129" s="15" t="s">
        <v>58</v>
      </c>
    </row>
    <row r="130" customFormat="false" ht="45.75" hidden="false" customHeight="true" outlineLevel="0" collapsed="false">
      <c r="A130" s="7" t="s">
        <v>702</v>
      </c>
      <c r="B130" s="7" t="s">
        <v>692</v>
      </c>
      <c r="C130" s="8" t="s">
        <v>703</v>
      </c>
      <c r="D130" s="8" t="s">
        <v>704</v>
      </c>
      <c r="E130" s="8" t="s">
        <v>705</v>
      </c>
      <c r="F130" s="9" t="s">
        <v>53</v>
      </c>
      <c r="G130" s="7" t="s">
        <v>54</v>
      </c>
      <c r="H130" s="10" t="s">
        <v>706</v>
      </c>
      <c r="I130" s="7" t="s">
        <v>410</v>
      </c>
      <c r="J130" s="7"/>
      <c r="K130" s="7" t="n">
        <v>5</v>
      </c>
      <c r="L130" s="10" t="s">
        <v>213</v>
      </c>
      <c r="M130" s="10" t="s">
        <v>58</v>
      </c>
    </row>
    <row r="131" customFormat="false" ht="45.75" hidden="false" customHeight="true" outlineLevel="0" collapsed="false">
      <c r="A131" s="12" t="s">
        <v>707</v>
      </c>
      <c r="B131" s="12" t="s">
        <v>692</v>
      </c>
      <c r="C131" s="13" t="s">
        <v>708</v>
      </c>
      <c r="D131" s="13" t="s">
        <v>709</v>
      </c>
      <c r="E131" s="13" t="s">
        <v>710</v>
      </c>
      <c r="F131" s="14" t="s">
        <v>53</v>
      </c>
      <c r="G131" s="12" t="s">
        <v>54</v>
      </c>
      <c r="H131" s="15" t="s">
        <v>400</v>
      </c>
      <c r="I131" s="12" t="s">
        <v>172</v>
      </c>
      <c r="J131" s="12"/>
      <c r="K131" s="12" t="n">
        <v>5</v>
      </c>
      <c r="L131" s="15" t="s">
        <v>213</v>
      </c>
      <c r="M131" s="15" t="s">
        <v>58</v>
      </c>
    </row>
    <row r="132" customFormat="false" ht="45.75" hidden="false" customHeight="true" outlineLevel="0" collapsed="false">
      <c r="A132" s="7" t="s">
        <v>711</v>
      </c>
      <c r="B132" s="7" t="s">
        <v>692</v>
      </c>
      <c r="C132" s="8" t="s">
        <v>712</v>
      </c>
      <c r="D132" s="8" t="s">
        <v>713</v>
      </c>
      <c r="E132" s="8" t="s">
        <v>714</v>
      </c>
      <c r="F132" s="9" t="s">
        <v>53</v>
      </c>
      <c r="G132" s="7" t="s">
        <v>54</v>
      </c>
      <c r="H132" s="10" t="s">
        <v>715</v>
      </c>
      <c r="I132" s="7" t="s">
        <v>100</v>
      </c>
      <c r="J132" s="7"/>
      <c r="K132" s="7" t="n">
        <v>8</v>
      </c>
      <c r="L132" s="10" t="s">
        <v>716</v>
      </c>
      <c r="M132" s="10" t="s">
        <v>58</v>
      </c>
    </row>
    <row r="133" customFormat="false" ht="45.75" hidden="false" customHeight="true" outlineLevel="0" collapsed="false">
      <c r="A133" s="12" t="s">
        <v>717</v>
      </c>
      <c r="B133" s="12" t="s">
        <v>692</v>
      </c>
      <c r="C133" s="13" t="s">
        <v>718</v>
      </c>
      <c r="D133" s="13" t="s">
        <v>719</v>
      </c>
      <c r="E133" s="13" t="s">
        <v>720</v>
      </c>
      <c r="F133" s="14" t="s">
        <v>53</v>
      </c>
      <c r="G133" s="12" t="s">
        <v>54</v>
      </c>
      <c r="H133" s="15" t="s">
        <v>721</v>
      </c>
      <c r="I133" s="12" t="s">
        <v>288</v>
      </c>
      <c r="J133" s="12"/>
      <c r="K133" s="12" t="n">
        <v>5</v>
      </c>
      <c r="L133" s="15" t="s">
        <v>716</v>
      </c>
      <c r="M133" s="15" t="s">
        <v>58</v>
      </c>
    </row>
    <row r="134" customFormat="false" ht="45.75" hidden="false" customHeight="true" outlineLevel="0" collapsed="false">
      <c r="A134" s="7" t="s">
        <v>722</v>
      </c>
      <c r="B134" s="7" t="s">
        <v>692</v>
      </c>
      <c r="C134" s="8" t="s">
        <v>723</v>
      </c>
      <c r="D134" s="8" t="s">
        <v>724</v>
      </c>
      <c r="E134" s="8" t="s">
        <v>725</v>
      </c>
      <c r="F134" s="9" t="s">
        <v>53</v>
      </c>
      <c r="G134" s="7" t="s">
        <v>54</v>
      </c>
      <c r="H134" s="10" t="s">
        <v>726</v>
      </c>
      <c r="I134" s="7" t="s">
        <v>410</v>
      </c>
      <c r="J134" s="7"/>
      <c r="K134" s="7" t="n">
        <v>5</v>
      </c>
      <c r="L134" s="10" t="s">
        <v>716</v>
      </c>
      <c r="M134" s="10" t="s">
        <v>58</v>
      </c>
    </row>
    <row r="135" customFormat="false" ht="45.75" hidden="false" customHeight="true" outlineLevel="0" collapsed="false">
      <c r="A135" s="12" t="s">
        <v>727</v>
      </c>
      <c r="B135" s="12" t="s">
        <v>692</v>
      </c>
      <c r="C135" s="13" t="s">
        <v>728</v>
      </c>
      <c r="D135" s="13" t="s">
        <v>729</v>
      </c>
      <c r="E135" s="13" t="s">
        <v>730</v>
      </c>
      <c r="F135" s="14" t="s">
        <v>53</v>
      </c>
      <c r="G135" s="12" t="s">
        <v>54</v>
      </c>
      <c r="H135" s="15" t="s">
        <v>731</v>
      </c>
      <c r="I135" s="12" t="s">
        <v>692</v>
      </c>
      <c r="J135" s="12"/>
      <c r="K135" s="12" t="n">
        <v>3</v>
      </c>
      <c r="L135" s="15" t="s">
        <v>64</v>
      </c>
      <c r="M135" s="15" t="s">
        <v>58</v>
      </c>
    </row>
    <row r="136" customFormat="false" ht="45.75" hidden="false" customHeight="true" outlineLevel="0" collapsed="false">
      <c r="A136" s="7" t="s">
        <v>732</v>
      </c>
      <c r="B136" s="7" t="s">
        <v>692</v>
      </c>
      <c r="C136" s="8" t="s">
        <v>733</v>
      </c>
      <c r="D136" s="8" t="s">
        <v>734</v>
      </c>
      <c r="E136" s="8" t="s">
        <v>735</v>
      </c>
      <c r="F136" s="9" t="s">
        <v>53</v>
      </c>
      <c r="G136" s="7" t="s">
        <v>54</v>
      </c>
      <c r="H136" s="10" t="s">
        <v>635</v>
      </c>
      <c r="I136" s="7" t="s">
        <v>692</v>
      </c>
      <c r="J136" s="7"/>
      <c r="K136" s="7" t="n">
        <v>8</v>
      </c>
      <c r="L136" s="10" t="s">
        <v>736</v>
      </c>
      <c r="M136" s="10" t="s">
        <v>58</v>
      </c>
    </row>
  </sheetData>
  <autoFilter ref="A1:M136"/>
  <dataValidations count="1">
    <dataValidation allowBlank="true" errorStyle="stop" operator="between" showDropDown="false" showErrorMessage="false" showInputMessage="false" sqref="M2:M136" type="list">
      <formula1>"Offen,In Arbeit,Review,Fertig,Zurückgestellt"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5" min="5" style="0" width="14"/>
    <col collapsed="false" customWidth="true" hidden="false" outlineLevel="0" max="6" min="6" style="0" width="15"/>
    <col collapsed="false" customWidth="true" hidden="false" outlineLevel="0" max="7" min="7" style="0" width="13"/>
    <col collapsed="false" customWidth="true" hidden="false" outlineLevel="0" max="9" min="8" style="0" width="9"/>
  </cols>
  <sheetData>
    <row r="1" customFormat="false" ht="17.35" hidden="false" customHeight="false" outlineLevel="0" collapsed="false">
      <c r="A1" s="17" t="s">
        <v>737</v>
      </c>
    </row>
    <row r="2" customFormat="false" ht="15" hidden="false" customHeight="false" outlineLevel="0" collapsed="false">
      <c r="A2" s="2" t="s">
        <v>738</v>
      </c>
    </row>
    <row r="3" customFormat="false" ht="15" hidden="false" customHeight="false" outlineLevel="0" collapsed="false">
      <c r="A3" s="4" t="s">
        <v>739</v>
      </c>
      <c r="B3" s="18" t="n">
        <v>90</v>
      </c>
      <c r="C3" s="2" t="s">
        <v>740</v>
      </c>
    </row>
    <row r="5" customFormat="false" ht="27.75" hidden="false" customHeight="true" outlineLevel="0" collapsed="false">
      <c r="A5" s="6" t="s">
        <v>36</v>
      </c>
      <c r="B5" s="6" t="s">
        <v>741</v>
      </c>
      <c r="C5" s="6" t="s">
        <v>742</v>
      </c>
      <c r="D5" s="6" t="s">
        <v>743</v>
      </c>
      <c r="E5" s="6" t="s">
        <v>744</v>
      </c>
      <c r="F5" s="6" t="s">
        <v>745</v>
      </c>
      <c r="G5" s="6" t="s">
        <v>746</v>
      </c>
      <c r="H5" s="6" t="s">
        <v>58</v>
      </c>
      <c r="I5" s="6" t="s">
        <v>747</v>
      </c>
    </row>
    <row r="6" customFormat="false" ht="15" hidden="false" customHeight="false" outlineLevel="0" collapsed="false">
      <c r="A6" s="19" t="s">
        <v>49</v>
      </c>
      <c r="B6" s="20" t="s">
        <v>748</v>
      </c>
      <c r="C6" s="21" t="n">
        <f aca="false">COUNTIFS(Backlog!$B$2:$B$136,$A6)</f>
        <v>9</v>
      </c>
      <c r="D6" s="21" t="n">
        <f aca="false">SUMIFS(Backlog!$K$2:$K$136,Backlog!$B$2:$B$136,$A6)</f>
        <v>50</v>
      </c>
      <c r="E6" s="21" t="n">
        <f aca="false">SUMIFS(Backlog!$K$2:$K$136,Backlog!$B$2:$B$136,$A6,Backlog!$G$2:$G$136,"MVP v1.0")</f>
        <v>50</v>
      </c>
      <c r="F6" s="21" t="n">
        <f aca="false">SUMIFS(Backlog!$K$2:$K$136,Backlog!$B$2:$B$136,$A6,Backlog!$G$2:$G$136,"v1.1–v1.3")</f>
        <v>0</v>
      </c>
      <c r="G6" s="21" t="n">
        <f aca="false">$D6-$E6-$F6</f>
        <v>0</v>
      </c>
      <c r="H6" s="21" t="n">
        <f aca="false">COUNTIFS(Backlog!$B$2:$B$136,$A6,Backlog!$M$2:$M$136,"Offen")</f>
        <v>9</v>
      </c>
      <c r="I6" s="21" t="n">
        <f aca="false">COUNTIFS(Backlog!$B$2:$B$136,$A6,Backlog!$M$2:$M$136,"Fertig")</f>
        <v>0</v>
      </c>
    </row>
    <row r="7" customFormat="false" ht="15" hidden="false" customHeight="false" outlineLevel="0" collapsed="false">
      <c r="A7" s="22" t="s">
        <v>100</v>
      </c>
      <c r="B7" s="23" t="s">
        <v>749</v>
      </c>
      <c r="C7" s="24" t="n">
        <f aca="false">COUNTIFS(Backlog!$B$2:$B$136,$A7)</f>
        <v>9</v>
      </c>
      <c r="D7" s="24" t="n">
        <f aca="false">SUMIFS(Backlog!$K$2:$K$136,Backlog!$B$2:$B$136,$A7)</f>
        <v>65</v>
      </c>
      <c r="E7" s="24" t="n">
        <f aca="false">SUMIFS(Backlog!$K$2:$K$136,Backlog!$B$2:$B$136,$A7,Backlog!$G$2:$G$136,"MVP v1.0")</f>
        <v>65</v>
      </c>
      <c r="F7" s="24" t="n">
        <f aca="false">SUMIFS(Backlog!$K$2:$K$136,Backlog!$B$2:$B$136,$A7,Backlog!$G$2:$G$136,"v1.1–v1.3")</f>
        <v>0</v>
      </c>
      <c r="G7" s="24" t="n">
        <f aca="false">$D7-$E7-$F7</f>
        <v>0</v>
      </c>
      <c r="H7" s="24" t="n">
        <f aca="false">COUNTIFS(Backlog!$B$2:$B$136,$A7,Backlog!$M$2:$M$136,"Offen")</f>
        <v>9</v>
      </c>
      <c r="I7" s="24" t="n">
        <f aca="false">COUNTIFS(Backlog!$B$2:$B$136,$A7,Backlog!$M$2:$M$136,"Fertig")</f>
        <v>0</v>
      </c>
    </row>
    <row r="8" customFormat="false" ht="15" hidden="false" customHeight="false" outlineLevel="0" collapsed="false">
      <c r="A8" s="19" t="s">
        <v>146</v>
      </c>
      <c r="B8" s="20" t="s">
        <v>750</v>
      </c>
      <c r="C8" s="21" t="n">
        <f aca="false">COUNTIFS(Backlog!$B$2:$B$136,$A8)</f>
        <v>9</v>
      </c>
      <c r="D8" s="21" t="n">
        <f aca="false">SUMIFS(Backlog!$K$2:$K$136,Backlog!$B$2:$B$136,$A8)</f>
        <v>55</v>
      </c>
      <c r="E8" s="21" t="n">
        <f aca="false">SUMIFS(Backlog!$K$2:$K$136,Backlog!$B$2:$B$136,$A8,Backlog!$G$2:$G$136,"MVP v1.0")</f>
        <v>47</v>
      </c>
      <c r="F8" s="21" t="n">
        <f aca="false">SUMIFS(Backlog!$K$2:$K$136,Backlog!$B$2:$B$136,$A8,Backlog!$G$2:$G$136,"v1.1–v1.3")</f>
        <v>8</v>
      </c>
      <c r="G8" s="21" t="n">
        <f aca="false">$D8-$E8-$F8</f>
        <v>0</v>
      </c>
      <c r="H8" s="21" t="n">
        <f aca="false">COUNTIFS(Backlog!$B$2:$B$136,$A8,Backlog!$M$2:$M$136,"Offen")</f>
        <v>9</v>
      </c>
      <c r="I8" s="21" t="n">
        <f aca="false">COUNTIFS(Backlog!$B$2:$B$136,$A8,Backlog!$M$2:$M$136,"Fertig")</f>
        <v>0</v>
      </c>
    </row>
    <row r="9" customFormat="false" ht="15" hidden="false" customHeight="false" outlineLevel="0" collapsed="false">
      <c r="A9" s="22" t="s">
        <v>195</v>
      </c>
      <c r="B9" s="23" t="s">
        <v>751</v>
      </c>
      <c r="C9" s="24" t="n">
        <f aca="false">COUNTIFS(Backlog!$B$2:$B$136,$A9)</f>
        <v>8</v>
      </c>
      <c r="D9" s="24" t="n">
        <f aca="false">SUMIFS(Backlog!$K$2:$K$136,Backlog!$B$2:$B$136,$A9)</f>
        <v>50</v>
      </c>
      <c r="E9" s="24" t="n">
        <f aca="false">SUMIFS(Backlog!$K$2:$K$136,Backlog!$B$2:$B$136,$A9,Backlog!$G$2:$G$136,"MVP v1.0")</f>
        <v>50</v>
      </c>
      <c r="F9" s="24" t="n">
        <f aca="false">SUMIFS(Backlog!$K$2:$K$136,Backlog!$B$2:$B$136,$A9,Backlog!$G$2:$G$136,"v1.1–v1.3")</f>
        <v>0</v>
      </c>
      <c r="G9" s="24" t="n">
        <f aca="false">$D9-$E9-$F9</f>
        <v>0</v>
      </c>
      <c r="H9" s="24" t="n">
        <f aca="false">COUNTIFS(Backlog!$B$2:$B$136,$A9,Backlog!$M$2:$M$136,"Offen")</f>
        <v>8</v>
      </c>
      <c r="I9" s="24" t="n">
        <f aca="false">COUNTIFS(Backlog!$B$2:$B$136,$A9,Backlog!$M$2:$M$136,"Fertig")</f>
        <v>0</v>
      </c>
    </row>
    <row r="10" customFormat="false" ht="15" hidden="false" customHeight="false" outlineLevel="0" collapsed="false">
      <c r="A10" s="19" t="s">
        <v>235</v>
      </c>
      <c r="B10" s="20" t="s">
        <v>752</v>
      </c>
      <c r="C10" s="21" t="n">
        <f aca="false">COUNTIFS(Backlog!$B$2:$B$136,$A10)</f>
        <v>12</v>
      </c>
      <c r="D10" s="21" t="n">
        <f aca="false">SUMIFS(Backlog!$K$2:$K$136,Backlog!$B$2:$B$136,$A10)</f>
        <v>91</v>
      </c>
      <c r="E10" s="21" t="n">
        <f aca="false">SUMIFS(Backlog!$K$2:$K$136,Backlog!$B$2:$B$136,$A10,Backlog!$G$2:$G$136,"MVP v1.0")</f>
        <v>86</v>
      </c>
      <c r="F10" s="21" t="n">
        <f aca="false">SUMIFS(Backlog!$K$2:$K$136,Backlog!$B$2:$B$136,$A10,Backlog!$G$2:$G$136,"v1.1–v1.3")</f>
        <v>5</v>
      </c>
      <c r="G10" s="21" t="n">
        <f aca="false">$D10-$E10-$F10</f>
        <v>0</v>
      </c>
      <c r="H10" s="21" t="n">
        <f aca="false">COUNTIFS(Backlog!$B$2:$B$136,$A10,Backlog!$M$2:$M$136,"Offen")</f>
        <v>12</v>
      </c>
      <c r="I10" s="21" t="n">
        <f aca="false">COUNTIFS(Backlog!$B$2:$B$136,$A10,Backlog!$M$2:$M$136,"Fertig")</f>
        <v>0</v>
      </c>
    </row>
    <row r="11" customFormat="false" ht="15" hidden="false" customHeight="false" outlineLevel="0" collapsed="false">
      <c r="A11" s="22" t="s">
        <v>295</v>
      </c>
      <c r="B11" s="23" t="s">
        <v>753</v>
      </c>
      <c r="C11" s="24" t="n">
        <f aca="false">COUNTIFS(Backlog!$B$2:$B$136,$A11)</f>
        <v>3</v>
      </c>
      <c r="D11" s="24" t="n">
        <f aca="false">SUMIFS(Backlog!$K$2:$K$136,Backlog!$B$2:$B$136,$A11)</f>
        <v>21</v>
      </c>
      <c r="E11" s="24" t="n">
        <f aca="false">SUMIFS(Backlog!$K$2:$K$136,Backlog!$B$2:$B$136,$A11,Backlog!$G$2:$G$136,"MVP v1.0")</f>
        <v>13</v>
      </c>
      <c r="F11" s="24" t="n">
        <f aca="false">SUMIFS(Backlog!$K$2:$K$136,Backlog!$B$2:$B$136,$A11,Backlog!$G$2:$G$136,"v1.1–v1.3")</f>
        <v>8</v>
      </c>
      <c r="G11" s="24" t="n">
        <f aca="false">$D11-$E11-$F11</f>
        <v>0</v>
      </c>
      <c r="H11" s="24" t="n">
        <f aca="false">COUNTIFS(Backlog!$B$2:$B$136,$A11,Backlog!$M$2:$M$136,"Offen")</f>
        <v>3</v>
      </c>
      <c r="I11" s="24" t="n">
        <f aca="false">COUNTIFS(Backlog!$B$2:$B$136,$A11,Backlog!$M$2:$M$136,"Fertig")</f>
        <v>0</v>
      </c>
    </row>
    <row r="12" customFormat="false" ht="15" hidden="false" customHeight="false" outlineLevel="0" collapsed="false">
      <c r="A12" s="19" t="s">
        <v>309</v>
      </c>
      <c r="B12" s="20" t="s">
        <v>754</v>
      </c>
      <c r="C12" s="21" t="n">
        <f aca="false">COUNTIFS(Backlog!$B$2:$B$136,$A12)</f>
        <v>8</v>
      </c>
      <c r="D12" s="21" t="n">
        <f aca="false">SUMIFS(Backlog!$K$2:$K$136,Backlog!$B$2:$B$136,$A12)</f>
        <v>66</v>
      </c>
      <c r="E12" s="21" t="n">
        <f aca="false">SUMIFS(Backlog!$K$2:$K$136,Backlog!$B$2:$B$136,$A12,Backlog!$G$2:$G$136,"MVP v1.0")</f>
        <v>66</v>
      </c>
      <c r="F12" s="21" t="n">
        <f aca="false">SUMIFS(Backlog!$K$2:$K$136,Backlog!$B$2:$B$136,$A12,Backlog!$G$2:$G$136,"v1.1–v1.3")</f>
        <v>0</v>
      </c>
      <c r="G12" s="21" t="n">
        <f aca="false">$D12-$E12-$F12</f>
        <v>0</v>
      </c>
      <c r="H12" s="21" t="n">
        <f aca="false">COUNTIFS(Backlog!$B$2:$B$136,$A12,Backlog!$M$2:$M$136,"Offen")</f>
        <v>8</v>
      </c>
      <c r="I12" s="21" t="n">
        <f aca="false">COUNTIFS(Backlog!$B$2:$B$136,$A12,Backlog!$M$2:$M$136,"Fertig")</f>
        <v>0</v>
      </c>
    </row>
    <row r="13" customFormat="false" ht="15" hidden="false" customHeight="false" outlineLevel="0" collapsed="false">
      <c r="A13" s="22" t="s">
        <v>348</v>
      </c>
      <c r="B13" s="23" t="s">
        <v>755</v>
      </c>
      <c r="C13" s="24" t="n">
        <f aca="false">COUNTIFS(Backlog!$B$2:$B$136,$A13)</f>
        <v>9</v>
      </c>
      <c r="D13" s="24" t="n">
        <f aca="false">SUMIFS(Backlog!$K$2:$K$136,Backlog!$B$2:$B$136,$A13)</f>
        <v>82</v>
      </c>
      <c r="E13" s="24" t="n">
        <f aca="false">SUMIFS(Backlog!$K$2:$K$136,Backlog!$B$2:$B$136,$A13,Backlog!$G$2:$G$136,"MVP v1.0")</f>
        <v>82</v>
      </c>
      <c r="F13" s="24" t="n">
        <f aca="false">SUMIFS(Backlog!$K$2:$K$136,Backlog!$B$2:$B$136,$A13,Backlog!$G$2:$G$136,"v1.1–v1.3")</f>
        <v>0</v>
      </c>
      <c r="G13" s="24" t="n">
        <f aca="false">$D13-$E13-$F13</f>
        <v>0</v>
      </c>
      <c r="H13" s="24" t="n">
        <f aca="false">COUNTIFS(Backlog!$B$2:$B$136,$A13,Backlog!$M$2:$M$136,"Offen")</f>
        <v>9</v>
      </c>
      <c r="I13" s="24" t="n">
        <f aca="false">COUNTIFS(Backlog!$B$2:$B$136,$A13,Backlog!$M$2:$M$136,"Fertig")</f>
        <v>0</v>
      </c>
    </row>
    <row r="14" customFormat="false" ht="15" hidden="false" customHeight="false" outlineLevel="0" collapsed="false">
      <c r="A14" s="19" t="s">
        <v>172</v>
      </c>
      <c r="B14" s="20" t="s">
        <v>756</v>
      </c>
      <c r="C14" s="21" t="n">
        <f aca="false">COUNTIFS(Backlog!$B$2:$B$136,$A14)</f>
        <v>8</v>
      </c>
      <c r="D14" s="21" t="n">
        <f aca="false">SUMIFS(Backlog!$K$2:$K$136,Backlog!$B$2:$B$136,$A14)</f>
        <v>55</v>
      </c>
      <c r="E14" s="21" t="n">
        <f aca="false">SUMIFS(Backlog!$K$2:$K$136,Backlog!$B$2:$B$136,$A14,Backlog!$G$2:$G$136,"MVP v1.0")</f>
        <v>55</v>
      </c>
      <c r="F14" s="21" t="n">
        <f aca="false">SUMIFS(Backlog!$K$2:$K$136,Backlog!$B$2:$B$136,$A14,Backlog!$G$2:$G$136,"v1.1–v1.3")</f>
        <v>0</v>
      </c>
      <c r="G14" s="21" t="n">
        <f aca="false">$D14-$E14-$F14</f>
        <v>0</v>
      </c>
      <c r="H14" s="21" t="n">
        <f aca="false">COUNTIFS(Backlog!$B$2:$B$136,$A14,Backlog!$M$2:$M$136,"Offen")</f>
        <v>8</v>
      </c>
      <c r="I14" s="21" t="n">
        <f aca="false">COUNTIFS(Backlog!$B$2:$B$136,$A14,Backlog!$M$2:$M$136,"Fertig")</f>
        <v>0</v>
      </c>
    </row>
    <row r="15" customFormat="false" ht="15" hidden="false" customHeight="false" outlineLevel="0" collapsed="false">
      <c r="A15" s="22" t="s">
        <v>410</v>
      </c>
      <c r="B15" s="23" t="s">
        <v>757</v>
      </c>
      <c r="C15" s="24" t="n">
        <f aca="false">COUNTIFS(Backlog!$B$2:$B$136,$A15)</f>
        <v>12</v>
      </c>
      <c r="D15" s="24" t="n">
        <f aca="false">SUMIFS(Backlog!$K$2:$K$136,Backlog!$B$2:$B$136,$A15)</f>
        <v>118</v>
      </c>
      <c r="E15" s="24" t="n">
        <f aca="false">SUMIFS(Backlog!$K$2:$K$136,Backlog!$B$2:$B$136,$A15,Backlog!$G$2:$G$136,"MVP v1.0")</f>
        <v>97</v>
      </c>
      <c r="F15" s="24" t="n">
        <f aca="false">SUMIFS(Backlog!$K$2:$K$136,Backlog!$B$2:$B$136,$A15,Backlog!$G$2:$G$136,"v1.1–v1.3")</f>
        <v>0</v>
      </c>
      <c r="G15" s="24" t="n">
        <f aca="false">$D15-$E15-$F15</f>
        <v>21</v>
      </c>
      <c r="H15" s="24" t="n">
        <f aca="false">COUNTIFS(Backlog!$B$2:$B$136,$A15,Backlog!$M$2:$M$136,"Offen")</f>
        <v>12</v>
      </c>
      <c r="I15" s="24" t="n">
        <f aca="false">COUNTIFS(Backlog!$B$2:$B$136,$A15,Backlog!$M$2:$M$136,"Fertig")</f>
        <v>0</v>
      </c>
    </row>
    <row r="16" customFormat="false" ht="15" hidden="false" customHeight="false" outlineLevel="0" collapsed="false">
      <c r="A16" s="19" t="s">
        <v>288</v>
      </c>
      <c r="B16" s="20" t="s">
        <v>758</v>
      </c>
      <c r="C16" s="21" t="n">
        <f aca="false">COUNTIFS(Backlog!$B$2:$B$136,$A16)</f>
        <v>6</v>
      </c>
      <c r="D16" s="21" t="n">
        <f aca="false">SUMIFS(Backlog!$K$2:$K$136,Backlog!$B$2:$B$136,$A16)</f>
        <v>44</v>
      </c>
      <c r="E16" s="21" t="n">
        <f aca="false">SUMIFS(Backlog!$K$2:$K$136,Backlog!$B$2:$B$136,$A16,Backlog!$G$2:$G$136,"MVP v1.0")</f>
        <v>44</v>
      </c>
      <c r="F16" s="21" t="n">
        <f aca="false">SUMIFS(Backlog!$K$2:$K$136,Backlog!$B$2:$B$136,$A16,Backlog!$G$2:$G$136,"v1.1–v1.3")</f>
        <v>0</v>
      </c>
      <c r="G16" s="21" t="n">
        <f aca="false">$D16-$E16-$F16</f>
        <v>0</v>
      </c>
      <c r="H16" s="21" t="n">
        <f aca="false">COUNTIFS(Backlog!$B$2:$B$136,$A16,Backlog!$M$2:$M$136,"Offen")</f>
        <v>6</v>
      </c>
      <c r="I16" s="21" t="n">
        <f aca="false">COUNTIFS(Backlog!$B$2:$B$136,$A16,Backlog!$M$2:$M$136,"Fertig")</f>
        <v>0</v>
      </c>
    </row>
    <row r="17" customFormat="false" ht="15" hidden="false" customHeight="false" outlineLevel="0" collapsed="false">
      <c r="A17" s="22" t="s">
        <v>522</v>
      </c>
      <c r="B17" s="23" t="s">
        <v>759</v>
      </c>
      <c r="C17" s="24" t="n">
        <f aca="false">COUNTIFS(Backlog!$B$2:$B$136,$A17)</f>
        <v>7</v>
      </c>
      <c r="D17" s="24" t="n">
        <f aca="false">SUMIFS(Backlog!$K$2:$K$136,Backlog!$B$2:$B$136,$A17)</f>
        <v>58</v>
      </c>
      <c r="E17" s="24" t="n">
        <f aca="false">SUMIFS(Backlog!$K$2:$K$136,Backlog!$B$2:$B$136,$A17,Backlog!$G$2:$G$136,"MVP v1.0")</f>
        <v>45</v>
      </c>
      <c r="F17" s="24" t="n">
        <f aca="false">SUMIFS(Backlog!$K$2:$K$136,Backlog!$B$2:$B$136,$A17,Backlog!$G$2:$G$136,"v1.1–v1.3")</f>
        <v>8</v>
      </c>
      <c r="G17" s="24" t="n">
        <f aca="false">$D17-$E17-$F17</f>
        <v>5</v>
      </c>
      <c r="H17" s="24" t="n">
        <f aca="false">COUNTIFS(Backlog!$B$2:$B$136,$A17,Backlog!$M$2:$M$136,"Offen")</f>
        <v>7</v>
      </c>
      <c r="I17" s="24" t="n">
        <f aca="false">COUNTIFS(Backlog!$B$2:$B$136,$A17,Backlog!$M$2:$M$136,"Fertig")</f>
        <v>0</v>
      </c>
    </row>
    <row r="18" customFormat="false" ht="15" hidden="false" customHeight="false" outlineLevel="0" collapsed="false">
      <c r="A18" s="19" t="s">
        <v>559</v>
      </c>
      <c r="B18" s="20" t="s">
        <v>760</v>
      </c>
      <c r="C18" s="21" t="n">
        <f aca="false">COUNTIFS(Backlog!$B$2:$B$136,$A18)</f>
        <v>3</v>
      </c>
      <c r="D18" s="21" t="n">
        <f aca="false">SUMIFS(Backlog!$K$2:$K$136,Backlog!$B$2:$B$136,$A18)</f>
        <v>26</v>
      </c>
      <c r="E18" s="21" t="n">
        <f aca="false">SUMIFS(Backlog!$K$2:$K$136,Backlog!$B$2:$B$136,$A18,Backlog!$G$2:$G$136,"MVP v1.0")</f>
        <v>8</v>
      </c>
      <c r="F18" s="21" t="n">
        <f aca="false">SUMIFS(Backlog!$K$2:$K$136,Backlog!$B$2:$B$136,$A18,Backlog!$G$2:$G$136,"v1.1–v1.3")</f>
        <v>18</v>
      </c>
      <c r="G18" s="21" t="n">
        <f aca="false">$D18-$E18-$F18</f>
        <v>0</v>
      </c>
      <c r="H18" s="21" t="n">
        <f aca="false">COUNTIFS(Backlog!$B$2:$B$136,$A18,Backlog!$M$2:$M$136,"Offen")</f>
        <v>3</v>
      </c>
      <c r="I18" s="21" t="n">
        <f aca="false">COUNTIFS(Backlog!$B$2:$B$136,$A18,Backlog!$M$2:$M$136,"Fertig")</f>
        <v>0</v>
      </c>
    </row>
    <row r="19" customFormat="false" ht="15" hidden="false" customHeight="false" outlineLevel="0" collapsed="false">
      <c r="A19" s="22" t="s">
        <v>575</v>
      </c>
      <c r="B19" s="23" t="s">
        <v>761</v>
      </c>
      <c r="C19" s="24" t="n">
        <f aca="false">COUNTIFS(Backlog!$B$2:$B$136,$A19)</f>
        <v>4</v>
      </c>
      <c r="D19" s="24" t="n">
        <f aca="false">SUMIFS(Backlog!$K$2:$K$136,Backlog!$B$2:$B$136,$A19)</f>
        <v>42</v>
      </c>
      <c r="E19" s="24" t="n">
        <f aca="false">SUMIFS(Backlog!$K$2:$K$136,Backlog!$B$2:$B$136,$A19,Backlog!$G$2:$G$136,"MVP v1.0")</f>
        <v>0</v>
      </c>
      <c r="F19" s="24" t="n">
        <f aca="false">SUMIFS(Backlog!$K$2:$K$136,Backlog!$B$2:$B$136,$A19,Backlog!$G$2:$G$136,"v1.1–v1.3")</f>
        <v>29</v>
      </c>
      <c r="G19" s="24" t="n">
        <f aca="false">$D19-$E19-$F19</f>
        <v>13</v>
      </c>
      <c r="H19" s="24" t="n">
        <f aca="false">COUNTIFS(Backlog!$B$2:$B$136,$A19,Backlog!$M$2:$M$136,"Offen")</f>
        <v>4</v>
      </c>
      <c r="I19" s="24" t="n">
        <f aca="false">COUNTIFS(Backlog!$B$2:$B$136,$A19,Backlog!$M$2:$M$136,"Fertig")</f>
        <v>0</v>
      </c>
    </row>
    <row r="20" customFormat="false" ht="15" hidden="false" customHeight="false" outlineLevel="0" collapsed="false">
      <c r="A20" s="19" t="s">
        <v>569</v>
      </c>
      <c r="B20" s="20" t="s">
        <v>762</v>
      </c>
      <c r="C20" s="21" t="n">
        <f aca="false">COUNTIFS(Backlog!$B$2:$B$136,$A20)</f>
        <v>6</v>
      </c>
      <c r="D20" s="21" t="n">
        <f aca="false">SUMIFS(Backlog!$K$2:$K$136,Backlog!$B$2:$B$136,$A20)</f>
        <v>49</v>
      </c>
      <c r="E20" s="21" t="n">
        <f aca="false">SUMIFS(Backlog!$K$2:$K$136,Backlog!$B$2:$B$136,$A20,Backlog!$G$2:$G$136,"MVP v1.0")</f>
        <v>23</v>
      </c>
      <c r="F20" s="21" t="n">
        <f aca="false">SUMIFS(Backlog!$K$2:$K$136,Backlog!$B$2:$B$136,$A20,Backlog!$G$2:$G$136,"v1.1–v1.3")</f>
        <v>13</v>
      </c>
      <c r="G20" s="21" t="n">
        <f aca="false">$D20-$E20-$F20</f>
        <v>13</v>
      </c>
      <c r="H20" s="21" t="n">
        <f aca="false">COUNTIFS(Backlog!$B$2:$B$136,$A20,Backlog!$M$2:$M$136,"Offen")</f>
        <v>6</v>
      </c>
      <c r="I20" s="21" t="n">
        <f aca="false">COUNTIFS(Backlog!$B$2:$B$136,$A20,Backlog!$M$2:$M$136,"Fertig")</f>
        <v>0</v>
      </c>
    </row>
    <row r="21" customFormat="false" ht="15" hidden="false" customHeight="false" outlineLevel="0" collapsed="false">
      <c r="A21" s="22" t="s">
        <v>151</v>
      </c>
      <c r="B21" s="23" t="s">
        <v>763</v>
      </c>
      <c r="C21" s="24" t="n">
        <f aca="false">COUNTIFS(Backlog!$B$2:$B$136,$A21)</f>
        <v>6</v>
      </c>
      <c r="D21" s="24" t="n">
        <f aca="false">SUMIFS(Backlog!$K$2:$K$136,Backlog!$B$2:$B$136,$A21)</f>
        <v>68</v>
      </c>
      <c r="E21" s="24" t="n">
        <f aca="false">SUMIFS(Backlog!$K$2:$K$136,Backlog!$B$2:$B$136,$A21,Backlog!$G$2:$G$136,"MVP v1.0")</f>
        <v>60</v>
      </c>
      <c r="F21" s="24" t="n">
        <f aca="false">SUMIFS(Backlog!$K$2:$K$136,Backlog!$B$2:$B$136,$A21,Backlog!$G$2:$G$136,"v1.1–v1.3")</f>
        <v>8</v>
      </c>
      <c r="G21" s="24" t="n">
        <f aca="false">$D21-$E21-$F21</f>
        <v>0</v>
      </c>
      <c r="H21" s="24" t="n">
        <f aca="false">COUNTIFS(Backlog!$B$2:$B$136,$A21,Backlog!$M$2:$M$136,"Offen")</f>
        <v>6</v>
      </c>
      <c r="I21" s="24" t="n">
        <f aca="false">COUNTIFS(Backlog!$B$2:$B$136,$A21,Backlog!$M$2:$M$136,"Fertig")</f>
        <v>0</v>
      </c>
    </row>
    <row r="22" customFormat="false" ht="15" hidden="false" customHeight="false" outlineLevel="0" collapsed="false">
      <c r="A22" s="19" t="s">
        <v>657</v>
      </c>
      <c r="B22" s="20" t="s">
        <v>764</v>
      </c>
      <c r="C22" s="21" t="n">
        <f aca="false">COUNTIFS(Backlog!$B$2:$B$136,$A22)</f>
        <v>7</v>
      </c>
      <c r="D22" s="21" t="n">
        <f aca="false">SUMIFS(Backlog!$K$2:$K$136,Backlog!$B$2:$B$136,$A22)</f>
        <v>42</v>
      </c>
      <c r="E22" s="21" t="n">
        <f aca="false">SUMIFS(Backlog!$K$2:$K$136,Backlog!$B$2:$B$136,$A22,Backlog!$G$2:$G$136,"MVP v1.0")</f>
        <v>42</v>
      </c>
      <c r="F22" s="21" t="n">
        <f aca="false">SUMIFS(Backlog!$K$2:$K$136,Backlog!$B$2:$B$136,$A22,Backlog!$G$2:$G$136,"v1.1–v1.3")</f>
        <v>0</v>
      </c>
      <c r="G22" s="21" t="n">
        <f aca="false">$D22-$E22-$F22</f>
        <v>0</v>
      </c>
      <c r="H22" s="21" t="n">
        <f aca="false">COUNTIFS(Backlog!$B$2:$B$136,$A22,Backlog!$M$2:$M$136,"Offen")</f>
        <v>7</v>
      </c>
      <c r="I22" s="21" t="n">
        <f aca="false">COUNTIFS(Backlog!$B$2:$B$136,$A22,Backlog!$M$2:$M$136,"Fertig")</f>
        <v>0</v>
      </c>
    </row>
    <row r="23" customFormat="false" ht="15" hidden="false" customHeight="false" outlineLevel="0" collapsed="false">
      <c r="A23" s="22" t="s">
        <v>692</v>
      </c>
      <c r="B23" s="23" t="s">
        <v>765</v>
      </c>
      <c r="C23" s="24" t="n">
        <f aca="false">COUNTIFS(Backlog!$B$2:$B$136,$A23)</f>
        <v>9</v>
      </c>
      <c r="D23" s="24" t="n">
        <f aca="false">SUMIFS(Backlog!$K$2:$K$136,Backlog!$B$2:$B$136,$A23)</f>
        <v>55</v>
      </c>
      <c r="E23" s="24" t="n">
        <f aca="false">SUMIFS(Backlog!$K$2:$K$136,Backlog!$B$2:$B$136,$A23,Backlog!$G$2:$G$136,"MVP v1.0")</f>
        <v>55</v>
      </c>
      <c r="F23" s="24" t="n">
        <f aca="false">SUMIFS(Backlog!$K$2:$K$136,Backlog!$B$2:$B$136,$A23,Backlog!$G$2:$G$136,"v1.1–v1.3")</f>
        <v>0</v>
      </c>
      <c r="G23" s="24" t="n">
        <f aca="false">$D23-$E23-$F23</f>
        <v>0</v>
      </c>
      <c r="H23" s="24" t="n">
        <f aca="false">COUNTIFS(Backlog!$B$2:$B$136,$A23,Backlog!$M$2:$M$136,"Offen")</f>
        <v>9</v>
      </c>
      <c r="I23" s="24" t="n">
        <f aca="false">COUNTIFS(Backlog!$B$2:$B$136,$A23,Backlog!$M$2:$M$136,"Fertig")</f>
        <v>0</v>
      </c>
    </row>
    <row r="24" customFormat="false" ht="15" hidden="false" customHeight="false" outlineLevel="0" collapsed="false">
      <c r="A24" s="25"/>
      <c r="B24" s="26" t="s">
        <v>766</v>
      </c>
      <c r="C24" s="27" t="n">
        <f aca="false">SUM(C6:C23)</f>
        <v>135</v>
      </c>
      <c r="D24" s="27" t="n">
        <f aca="false">SUM(D6:D23)</f>
        <v>1037</v>
      </c>
      <c r="E24" s="27" t="n">
        <f aca="false">SUM(E6:E23)</f>
        <v>888</v>
      </c>
      <c r="F24" s="27" t="n">
        <f aca="false">SUM(F6:F23)</f>
        <v>97</v>
      </c>
      <c r="G24" s="27" t="n">
        <f aca="false">SUM(G6:G23)</f>
        <v>52</v>
      </c>
      <c r="H24" s="27" t="n">
        <f aca="false">SUM(H6:H23)</f>
        <v>135</v>
      </c>
      <c r="I24" s="27" t="n">
        <f aca="false">SUM(I6:I23)</f>
        <v>0</v>
      </c>
    </row>
    <row r="26" customFormat="false" ht="15" hidden="false" customHeight="false" outlineLevel="0" collapsed="false">
      <c r="A26" s="28" t="s">
        <v>767</v>
      </c>
    </row>
    <row r="27" customFormat="false" ht="15" hidden="false" customHeight="false" outlineLevel="0" collapsed="false">
      <c r="A27" s="29" t="s">
        <v>768</v>
      </c>
      <c r="B27" s="30" t="n">
        <f aca="false">C24</f>
        <v>135</v>
      </c>
    </row>
    <row r="28" customFormat="false" ht="15" hidden="false" customHeight="false" outlineLevel="0" collapsed="false">
      <c r="A28" s="29" t="s">
        <v>769</v>
      </c>
      <c r="B28" s="30" t="n">
        <f aca="false">D24</f>
        <v>1037</v>
      </c>
    </row>
    <row r="29" customFormat="false" ht="15" hidden="false" customHeight="false" outlineLevel="0" collapsed="false">
      <c r="A29" s="29" t="s">
        <v>770</v>
      </c>
      <c r="B29" s="30" t="n">
        <f aca="false">E24</f>
        <v>888</v>
      </c>
    </row>
    <row r="30" customFormat="false" ht="15" hidden="false" customHeight="false" outlineLevel="0" collapsed="false">
      <c r="A30" s="29" t="s">
        <v>771</v>
      </c>
      <c r="B30" s="30" t="n">
        <f aca="false">IFERROR(ROUNDUP(E24/$B$3,0),"—")</f>
        <v>10</v>
      </c>
    </row>
    <row r="31" customFormat="false" ht="15" hidden="false" customHeight="false" outlineLevel="0" collapsed="false">
      <c r="A31" s="29" t="s">
        <v>772</v>
      </c>
      <c r="B31" s="30" t="n">
        <f aca="false">IFERROR(ROUND(ROUNDUP(E24/$B$3,0)*0.5,1),"—")</f>
        <v>5</v>
      </c>
    </row>
    <row r="32" customFormat="false" ht="15" hidden="false" customHeight="false" outlineLevel="0" collapsed="false">
      <c r="A32" s="29" t="s">
        <v>773</v>
      </c>
      <c r="B32" s="30" t="n">
        <v>5</v>
      </c>
    </row>
    <row r="33" customFormat="false" ht="15" hidden="false" customHeight="false" outlineLevel="0" collapsed="false">
      <c r="A33" s="29" t="s">
        <v>774</v>
      </c>
      <c r="B33" s="31" t="n">
        <f aca="false">IFERROR(E24/D24,"—")</f>
        <v>0.856316297010608</v>
      </c>
    </row>
    <row r="34" customFormat="false" ht="15" hidden="false" customHeight="false" outlineLevel="0" collapsed="false">
      <c r="A34" s="29" t="s">
        <v>775</v>
      </c>
      <c r="B34" s="30" t="n">
        <f aca="false">SUMIFS(Backlog!$K$2:$K$136,Backlog!$J$2:$J$136,"G-2")</f>
        <v>55</v>
      </c>
    </row>
    <row r="35" customFormat="false" ht="15" hidden="false" customHeight="false" outlineLevel="0" collapsed="false">
      <c r="A35" s="29" t="s">
        <v>776</v>
      </c>
      <c r="B35" s="30" t="n">
        <f aca="false">SUMIFS(Backlog!$K$2:$K$136,Backlog!$J$2:$J$136,"G-1")</f>
        <v>13</v>
      </c>
    </row>
    <row r="36" customFormat="false" ht="15" hidden="false" customHeight="false" outlineLevel="0" collapsed="false">
      <c r="A36" s="29" t="s">
        <v>777</v>
      </c>
      <c r="B36" s="30" t="n">
        <f aca="false">SUMIFS(Backlog!$K$2:$K$136,Backlog!$B$2:$B$136,"E16")</f>
        <v>68</v>
      </c>
    </row>
    <row r="38" customFormat="false" ht="15" hidden="false" customHeight="false" outlineLevel="0" collapsed="false">
      <c r="A38" s="2" t="s">
        <v>778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40"/>
    <col collapsed="false" customWidth="true" hidden="false" outlineLevel="0" max="4" min="4" style="0" width="52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13"/>
  </cols>
  <sheetData>
    <row r="1" customFormat="false" ht="17.35" hidden="false" customHeight="false" outlineLevel="0" collapsed="false">
      <c r="A1" s="17" t="s">
        <v>779</v>
      </c>
    </row>
    <row r="2" customFormat="false" ht="15" hidden="false" customHeight="false" outlineLevel="0" collapsed="false">
      <c r="A2" s="2" t="s">
        <v>780</v>
      </c>
    </row>
    <row r="4" customFormat="false" ht="27.75" hidden="false" customHeight="true" outlineLevel="0" collapsed="false">
      <c r="A4" s="6" t="s">
        <v>44</v>
      </c>
      <c r="B4" s="6" t="s">
        <v>781</v>
      </c>
      <c r="C4" s="6" t="s">
        <v>782</v>
      </c>
      <c r="D4" s="6" t="s">
        <v>783</v>
      </c>
      <c r="E4" s="6" t="s">
        <v>784</v>
      </c>
      <c r="F4" s="6" t="s">
        <v>785</v>
      </c>
      <c r="G4" s="6" t="s">
        <v>786</v>
      </c>
    </row>
    <row r="5" customFormat="false" ht="45.75" hidden="false" customHeight="true" outlineLevel="0" collapsed="false">
      <c r="A5" s="32" t="s">
        <v>56</v>
      </c>
      <c r="B5" s="8" t="s">
        <v>787</v>
      </c>
      <c r="C5" s="8" t="s">
        <v>788</v>
      </c>
      <c r="D5" s="8" t="s">
        <v>789</v>
      </c>
      <c r="E5" s="8" t="s">
        <v>57</v>
      </c>
      <c r="F5" s="8" t="s">
        <v>790</v>
      </c>
      <c r="G5" s="30" t="n">
        <f aca="false">SUMIFS(Backlog!$K$2:$K$136,Backlog!$J$2:$J$136,$A5)</f>
        <v>3</v>
      </c>
    </row>
    <row r="6" customFormat="false" ht="45.75" hidden="false" customHeight="true" outlineLevel="0" collapsed="false">
      <c r="A6" s="33" t="s">
        <v>537</v>
      </c>
      <c r="B6" s="13" t="s">
        <v>791</v>
      </c>
      <c r="C6" s="13" t="s">
        <v>792</v>
      </c>
      <c r="D6" s="13" t="s">
        <v>793</v>
      </c>
      <c r="E6" s="13" t="s">
        <v>736</v>
      </c>
      <c r="F6" s="13" t="s">
        <v>790</v>
      </c>
      <c r="G6" s="34" t="n">
        <f aca="false">SUMIFS(Backlog!$K$2:$K$136,Backlog!$J$2:$J$136,$A6)</f>
        <v>13</v>
      </c>
    </row>
    <row r="7" customFormat="false" ht="45.75" hidden="false" customHeight="true" outlineLevel="0" collapsed="false">
      <c r="A7" s="32" t="s">
        <v>368</v>
      </c>
      <c r="B7" s="8" t="s">
        <v>794</v>
      </c>
      <c r="C7" s="8" t="s">
        <v>795</v>
      </c>
      <c r="D7" s="8" t="s">
        <v>796</v>
      </c>
      <c r="E7" s="8" t="s">
        <v>797</v>
      </c>
      <c r="F7" s="8" t="s">
        <v>798</v>
      </c>
      <c r="G7" s="30" t="n">
        <f aca="false">SUMIFS(Backlog!$K$2:$K$136,Backlog!$J$2:$J$136,$A7)</f>
        <v>55</v>
      </c>
    </row>
    <row r="8" customFormat="false" ht="45.75" hidden="false" customHeight="true" outlineLevel="0" collapsed="false">
      <c r="A8" s="33" t="s">
        <v>557</v>
      </c>
      <c r="B8" s="13" t="s">
        <v>799</v>
      </c>
      <c r="C8" s="13" t="s">
        <v>800</v>
      </c>
      <c r="D8" s="13" t="s">
        <v>801</v>
      </c>
      <c r="E8" s="13" t="s">
        <v>736</v>
      </c>
      <c r="F8" s="13" t="s">
        <v>802</v>
      </c>
      <c r="G8" s="34" t="n">
        <f aca="false">SUMIFS(Backlog!$K$2:$K$136,Backlog!$J$2:$J$136,$A8)</f>
        <v>5</v>
      </c>
    </row>
    <row r="9" customFormat="false" ht="45.75" hidden="false" customHeight="true" outlineLevel="0" collapsed="false">
      <c r="A9" s="32" t="s">
        <v>152</v>
      </c>
      <c r="B9" s="8" t="s">
        <v>803</v>
      </c>
      <c r="C9" s="8" t="s">
        <v>804</v>
      </c>
      <c r="D9" s="8" t="s">
        <v>805</v>
      </c>
      <c r="E9" s="8" t="s">
        <v>806</v>
      </c>
      <c r="F9" s="8" t="s">
        <v>798</v>
      </c>
      <c r="G9" s="30" t="n">
        <f aca="false">SUMIFS(Backlog!$K$2:$K$136,Backlog!$J$2:$J$136,$A9)</f>
        <v>21</v>
      </c>
    </row>
    <row r="10" customFormat="false" ht="45.75" hidden="false" customHeight="true" outlineLevel="0" collapsed="false">
      <c r="A10" s="33" t="s">
        <v>474</v>
      </c>
      <c r="B10" s="13" t="s">
        <v>807</v>
      </c>
      <c r="C10" s="13" t="s">
        <v>808</v>
      </c>
      <c r="D10" s="13" t="s">
        <v>809</v>
      </c>
      <c r="E10" s="13" t="s">
        <v>716</v>
      </c>
      <c r="F10" s="13" t="s">
        <v>810</v>
      </c>
      <c r="G10" s="34" t="n">
        <f aca="false">SUMIFS(Backlog!$K$2:$K$136,Backlog!$J$2:$J$136,$A10)</f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4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74"/>
    <col collapsed="false" customWidth="true" hidden="false" outlineLevel="0" max="6" min="6" style="0" width="16"/>
  </cols>
  <sheetData>
    <row r="1" customFormat="false" ht="17.35" hidden="false" customHeight="false" outlineLevel="0" collapsed="false">
      <c r="A1" s="17" t="s">
        <v>811</v>
      </c>
    </row>
    <row r="2" customFormat="false" ht="15" hidden="false" customHeight="false" outlineLevel="0" collapsed="false">
      <c r="A2" s="2" t="s">
        <v>812</v>
      </c>
    </row>
    <row r="4" customFormat="false" ht="15" hidden="false" customHeight="false" outlineLevel="0" collapsed="false">
      <c r="A4" s="6" t="s">
        <v>813</v>
      </c>
      <c r="B4" s="6" t="s">
        <v>814</v>
      </c>
      <c r="C4" s="6" t="s">
        <v>815</v>
      </c>
      <c r="D4" s="6" t="s">
        <v>816</v>
      </c>
      <c r="E4" s="6" t="s">
        <v>817</v>
      </c>
      <c r="F4" s="6" t="s">
        <v>784</v>
      </c>
    </row>
    <row r="5" customFormat="false" ht="43.5" hidden="false" customHeight="true" outlineLevel="0" collapsed="false">
      <c r="A5" s="35" t="s">
        <v>181</v>
      </c>
      <c r="B5" s="36" t="s">
        <v>818</v>
      </c>
      <c r="C5" s="37" t="s">
        <v>819</v>
      </c>
      <c r="D5" s="38" t="s">
        <v>820</v>
      </c>
      <c r="E5" s="36" t="s">
        <v>821</v>
      </c>
      <c r="F5" s="36" t="s">
        <v>822</v>
      </c>
    </row>
    <row r="6" customFormat="false" ht="43.5" hidden="false" customHeight="true" outlineLevel="0" collapsed="false">
      <c r="A6" s="39" t="s">
        <v>655</v>
      </c>
      <c r="B6" s="40" t="s">
        <v>823</v>
      </c>
      <c r="C6" s="41" t="s">
        <v>824</v>
      </c>
      <c r="D6" s="41" t="s">
        <v>824</v>
      </c>
      <c r="E6" s="40" t="s">
        <v>825</v>
      </c>
      <c r="F6" s="40" t="s">
        <v>806</v>
      </c>
    </row>
    <row r="7" customFormat="false" ht="43.5" hidden="false" customHeight="true" outlineLevel="0" collapsed="false">
      <c r="A7" s="35" t="s">
        <v>826</v>
      </c>
      <c r="B7" s="36" t="s">
        <v>827</v>
      </c>
      <c r="C7" s="37" t="s">
        <v>828</v>
      </c>
      <c r="D7" s="38" t="s">
        <v>820</v>
      </c>
      <c r="E7" s="36" t="s">
        <v>829</v>
      </c>
      <c r="F7" s="36" t="s">
        <v>830</v>
      </c>
    </row>
    <row r="8" customFormat="false" ht="43.5" hidden="false" customHeight="true" outlineLevel="0" collapsed="false">
      <c r="A8" s="39" t="s">
        <v>831</v>
      </c>
      <c r="B8" s="40" t="s">
        <v>832</v>
      </c>
      <c r="C8" s="41" t="s">
        <v>819</v>
      </c>
      <c r="D8" s="41" t="s">
        <v>824</v>
      </c>
      <c r="E8" s="40" t="s">
        <v>833</v>
      </c>
      <c r="F8" s="40" t="s">
        <v>797</v>
      </c>
    </row>
    <row r="9" customFormat="false" ht="43.5" hidden="false" customHeight="true" outlineLevel="0" collapsed="false">
      <c r="A9" s="35" t="s">
        <v>834</v>
      </c>
      <c r="B9" s="36" t="s">
        <v>835</v>
      </c>
      <c r="C9" s="37" t="s">
        <v>824</v>
      </c>
      <c r="D9" s="37" t="s">
        <v>824</v>
      </c>
      <c r="E9" s="36" t="s">
        <v>836</v>
      </c>
      <c r="F9" s="36" t="s">
        <v>736</v>
      </c>
    </row>
    <row r="10" customFormat="false" ht="43.5" hidden="false" customHeight="true" outlineLevel="0" collapsed="false">
      <c r="A10" s="39" t="s">
        <v>837</v>
      </c>
      <c r="B10" s="40" t="s">
        <v>838</v>
      </c>
      <c r="C10" s="41" t="s">
        <v>828</v>
      </c>
      <c r="D10" s="42" t="s">
        <v>820</v>
      </c>
      <c r="E10" s="40" t="s">
        <v>839</v>
      </c>
      <c r="F10" s="40" t="s">
        <v>840</v>
      </c>
    </row>
    <row r="11" customFormat="false" ht="43.5" hidden="false" customHeight="true" outlineLevel="0" collapsed="false">
      <c r="A11" s="35" t="s">
        <v>841</v>
      </c>
      <c r="B11" s="36" t="s">
        <v>842</v>
      </c>
      <c r="C11" s="37" t="s">
        <v>824</v>
      </c>
      <c r="D11" s="37" t="s">
        <v>819</v>
      </c>
      <c r="E11" s="36" t="s">
        <v>843</v>
      </c>
      <c r="F11" s="36" t="s">
        <v>797</v>
      </c>
    </row>
    <row r="12" customFormat="false" ht="43.5" hidden="false" customHeight="true" outlineLevel="0" collapsed="false">
      <c r="A12" s="39" t="s">
        <v>844</v>
      </c>
      <c r="B12" s="40" t="s">
        <v>845</v>
      </c>
      <c r="C12" s="41" t="s">
        <v>819</v>
      </c>
      <c r="D12" s="41" t="s">
        <v>824</v>
      </c>
      <c r="E12" s="40" t="s">
        <v>846</v>
      </c>
      <c r="F12" s="40" t="s">
        <v>847</v>
      </c>
    </row>
    <row r="13" customFormat="false" ht="43.5" hidden="false" customHeight="true" outlineLevel="0" collapsed="false">
      <c r="A13" s="35" t="s">
        <v>848</v>
      </c>
      <c r="B13" s="36" t="s">
        <v>849</v>
      </c>
      <c r="C13" s="37" t="s">
        <v>819</v>
      </c>
      <c r="D13" s="37" t="s">
        <v>824</v>
      </c>
      <c r="E13" s="36" t="s">
        <v>850</v>
      </c>
      <c r="F13" s="36" t="s">
        <v>736</v>
      </c>
    </row>
    <row r="14" customFormat="false" ht="43.5" hidden="false" customHeight="true" outlineLevel="0" collapsed="false">
      <c r="A14" s="39" t="s">
        <v>851</v>
      </c>
      <c r="B14" s="40" t="s">
        <v>852</v>
      </c>
      <c r="C14" s="41" t="s">
        <v>824</v>
      </c>
      <c r="D14" s="41" t="s">
        <v>819</v>
      </c>
      <c r="E14" s="40" t="s">
        <v>853</v>
      </c>
      <c r="F14" s="40" t="s">
        <v>736</v>
      </c>
    </row>
    <row r="15" customFormat="false" ht="43.5" hidden="false" customHeight="true" outlineLevel="0" collapsed="false">
      <c r="A15" s="35" t="s">
        <v>854</v>
      </c>
      <c r="B15" s="36" t="s">
        <v>855</v>
      </c>
      <c r="C15" s="37" t="s">
        <v>819</v>
      </c>
      <c r="D15" s="37" t="s">
        <v>824</v>
      </c>
      <c r="E15" s="36" t="s">
        <v>856</v>
      </c>
      <c r="F15" s="36" t="s">
        <v>797</v>
      </c>
    </row>
    <row r="16" customFormat="false" ht="43.5" hidden="false" customHeight="true" outlineLevel="0" collapsed="false">
      <c r="A16" s="39" t="s">
        <v>857</v>
      </c>
      <c r="B16" s="40" t="s">
        <v>858</v>
      </c>
      <c r="C16" s="41" t="s">
        <v>819</v>
      </c>
      <c r="D16" s="41" t="s">
        <v>824</v>
      </c>
      <c r="E16" s="40" t="s">
        <v>859</v>
      </c>
      <c r="F16" s="40" t="s">
        <v>57</v>
      </c>
    </row>
    <row r="17" customFormat="false" ht="43.5" hidden="false" customHeight="true" outlineLevel="0" collapsed="false">
      <c r="A17" s="35" t="s">
        <v>860</v>
      </c>
      <c r="B17" s="36" t="s">
        <v>861</v>
      </c>
      <c r="C17" s="37" t="s">
        <v>819</v>
      </c>
      <c r="D17" s="37" t="s">
        <v>819</v>
      </c>
      <c r="E17" s="36" t="s">
        <v>862</v>
      </c>
      <c r="F17" s="36" t="s">
        <v>863</v>
      </c>
    </row>
    <row r="18" customFormat="false" ht="43.5" hidden="false" customHeight="true" outlineLevel="0" collapsed="false">
      <c r="A18" s="39" t="s">
        <v>864</v>
      </c>
      <c r="B18" s="40" t="s">
        <v>865</v>
      </c>
      <c r="C18" s="41" t="s">
        <v>819</v>
      </c>
      <c r="D18" s="41" t="s">
        <v>824</v>
      </c>
      <c r="E18" s="40" t="s">
        <v>866</v>
      </c>
      <c r="F18" s="40" t="s">
        <v>736</v>
      </c>
    </row>
    <row r="19" customFormat="false" ht="43.5" hidden="false" customHeight="true" outlineLevel="0" collapsed="false">
      <c r="A19" s="35" t="s">
        <v>731</v>
      </c>
      <c r="B19" s="36" t="s">
        <v>867</v>
      </c>
      <c r="C19" s="37" t="s">
        <v>819</v>
      </c>
      <c r="D19" s="37" t="s">
        <v>819</v>
      </c>
      <c r="E19" s="36" t="s">
        <v>868</v>
      </c>
      <c r="F19" s="36" t="s">
        <v>847</v>
      </c>
    </row>
    <row r="20" customFormat="false" ht="43.5" hidden="false" customHeight="true" outlineLevel="0" collapsed="false">
      <c r="A20" s="39" t="s">
        <v>869</v>
      </c>
      <c r="B20" s="40" t="s">
        <v>870</v>
      </c>
      <c r="C20" s="41" t="s">
        <v>824</v>
      </c>
      <c r="D20" s="41" t="s">
        <v>828</v>
      </c>
      <c r="E20" s="40" t="s">
        <v>871</v>
      </c>
      <c r="F20" s="40" t="s">
        <v>736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2026-08-06T09:14:52Z</dcterms:created>
  <dc:creator>openpyxl</dc:creator>
  <dc:description/>
  <dc:language>en-US</dc:language>
  <cp:lastModifiedBy/>
  <dcterms:modified xsi:type="dcterms:W3CDTF">2026-08-06T09:14:53Z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